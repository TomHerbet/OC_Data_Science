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1.xml" ContentType="application/vnd.openxmlformats-officedocument.spreadsheetml.comments+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https://lemkengmbhcokg-my.sharepoint.com/personal/t_herbet_lemken_com/Documents/Documents/"/>
    </mc:Choice>
  </mc:AlternateContent>
  <xr:revisionPtr revIDLastSave="15" documentId="8_{EEA77DC7-4D76-44AB-B5EA-08EECB832F8A}" xr6:coauthVersionLast="47" xr6:coauthVersionMax="47" xr10:uidLastSave="{1A7042D7-AE0A-428B-9B3E-E7276D1C0CAE}"/>
  <bookViews>
    <workbookView xWindow="-120" yWindow="-120" windowWidth="29040" windowHeight="15720" firstSheet="1" activeTab="1" xr2:uid="{00000000-000D-0000-FFFF-FFFF00000000}"/>
  </bookViews>
  <sheets>
    <sheet name="Backlog" sheetId="1" state="hidden" r:id="rId1"/>
    <sheet name="Rentabilité" sheetId="2" r:id="rId2"/>
    <sheet name="Organisation SCRUM" sheetId="3" r:id="rId3"/>
    <sheet name="SPRINTS" sheetId="7" r:id="rId4"/>
    <sheet name="Registre Traitements" sheetId="5" r:id="rId5"/>
    <sheet name="Fiche Registre" sheetId="6" r:id="rId6"/>
    <sheet name="Analyse Risques" sheetId="4"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8" roundtripDataSignature="AMtx7miyehnus1Dlw45fGVNqF1YVur9ikw=="/>
    </ext>
  </extLst>
</workbook>
</file>

<file path=xl/calcChain.xml><?xml version="1.0" encoding="utf-8"?>
<calcChain xmlns="http://schemas.openxmlformats.org/spreadsheetml/2006/main">
  <c r="C18" i="4" l="1"/>
  <c r="C17" i="4"/>
  <c r="C16" i="4"/>
  <c r="C15" i="4"/>
  <c r="B18" i="4"/>
  <c r="B17" i="4"/>
  <c r="B16" i="4"/>
  <c r="B15" i="4"/>
  <c r="D145" i="7" l="1"/>
  <c r="D146" i="7" s="1"/>
  <c r="D147" i="7" s="1"/>
  <c r="D148" i="7" s="1"/>
  <c r="D149" i="7" s="1"/>
  <c r="D150" i="7" s="1"/>
  <c r="D151" i="7" s="1"/>
  <c r="D152" i="7" s="1"/>
  <c r="D153" i="7" s="1"/>
  <c r="D154" i="7" s="1"/>
  <c r="D155" i="7" s="1"/>
  <c r="D156" i="7" s="1"/>
  <c r="D157" i="7" s="1"/>
  <c r="D158" i="7" s="1"/>
  <c r="D159" i="7" s="1"/>
  <c r="D160" i="7" s="1"/>
  <c r="D161" i="7" s="1"/>
  <c r="D162" i="7" s="1"/>
  <c r="D163" i="7" s="1"/>
  <c r="D164" i="7" s="1"/>
  <c r="D165" i="7" s="1"/>
  <c r="D166" i="7" s="1"/>
  <c r="D167" i="7" s="1"/>
  <c r="D168" i="7" s="1"/>
  <c r="D169" i="7" s="1"/>
  <c r="D170" i="7" s="1"/>
  <c r="D171" i="7" s="1"/>
  <c r="D172" i="7" s="1"/>
  <c r="D173" i="7" s="1"/>
  <c r="D174" i="7" s="1"/>
  <c r="D175" i="7" s="1"/>
  <c r="D176" i="7" s="1"/>
  <c r="D177" i="7" s="1"/>
  <c r="D178" i="7" s="1"/>
  <c r="D179" i="7" s="1"/>
  <c r="D180" i="7" s="1"/>
  <c r="D181" i="7" s="1"/>
  <c r="D182" i="7" s="1"/>
  <c r="D183" i="7" s="1"/>
  <c r="D184" i="7" s="1"/>
  <c r="D185" i="7" s="1"/>
  <c r="D186" i="7" s="1"/>
  <c r="D187" i="7" s="1"/>
  <c r="D188" i="7" s="1"/>
  <c r="D189" i="7" s="1"/>
  <c r="D190" i="7" s="1"/>
  <c r="D191" i="7" s="1"/>
  <c r="D192" i="7" s="1"/>
  <c r="D193" i="7" s="1"/>
  <c r="D194" i="7" s="1"/>
  <c r="C189" i="7" l="1"/>
  <c r="C188" i="7"/>
  <c r="C187" i="7"/>
  <c r="C186" i="7"/>
  <c r="C185" i="7"/>
  <c r="C184" i="7"/>
  <c r="C183" i="7"/>
  <c r="C182" i="7"/>
  <c r="C181" i="7"/>
  <c r="C180" i="7"/>
  <c r="C179" i="7"/>
  <c r="C178" i="7"/>
  <c r="C177" i="7"/>
  <c r="C176" i="7"/>
  <c r="C175" i="7"/>
  <c r="C174" i="7"/>
  <c r="C172" i="7"/>
  <c r="C171" i="7"/>
  <c r="C170" i="7"/>
  <c r="C169" i="7"/>
  <c r="C168" i="7"/>
  <c r="C167" i="7"/>
  <c r="C166" i="7"/>
  <c r="C165" i="7"/>
  <c r="C164" i="7"/>
  <c r="C163" i="7"/>
  <c r="C162" i="7"/>
  <c r="C161" i="7"/>
  <c r="C160" i="7"/>
  <c r="C159" i="7"/>
  <c r="C158" i="7"/>
  <c r="C157" i="7"/>
  <c r="C156" i="7"/>
  <c r="C155" i="7"/>
  <c r="C154" i="7"/>
  <c r="C153" i="7"/>
  <c r="C152" i="7"/>
  <c r="C151" i="7"/>
  <c r="C150" i="7"/>
  <c r="C149" i="7"/>
  <c r="C148" i="7"/>
  <c r="C147" i="7"/>
  <c r="C146" i="7"/>
  <c r="C145" i="7"/>
  <c r="B195" i="7"/>
  <c r="B194" i="7"/>
  <c r="B193" i="7"/>
  <c r="B192" i="7"/>
  <c r="B191" i="7"/>
  <c r="B190" i="7"/>
  <c r="B189" i="7"/>
  <c r="B188" i="7"/>
  <c r="B187" i="7"/>
  <c r="B186" i="7"/>
  <c r="B185" i="7"/>
  <c r="B184" i="7"/>
  <c r="B183" i="7"/>
  <c r="B182" i="7"/>
  <c r="B181" i="7"/>
  <c r="B180" i="7"/>
  <c r="B178" i="7"/>
  <c r="B179" i="7"/>
  <c r="B177" i="7"/>
  <c r="B176" i="7"/>
  <c r="B175" i="7"/>
  <c r="B174" i="7"/>
  <c r="E81" i="7"/>
  <c r="B173" i="7"/>
  <c r="B172" i="7"/>
  <c r="B171" i="7"/>
  <c r="B170" i="7"/>
  <c r="B169" i="7"/>
  <c r="B168" i="7"/>
  <c r="B167" i="7"/>
  <c r="B166" i="7"/>
  <c r="B165" i="7"/>
  <c r="B164" i="7"/>
  <c r="B163" i="7"/>
  <c r="B162" i="7"/>
  <c r="B161" i="7"/>
  <c r="B160" i="7"/>
  <c r="B159" i="7"/>
  <c r="B158" i="7"/>
  <c r="B157" i="7"/>
  <c r="B156" i="7"/>
  <c r="B155" i="7"/>
  <c r="B154" i="7"/>
  <c r="B153" i="7"/>
  <c r="B152" i="7"/>
  <c r="B151" i="7"/>
  <c r="B150" i="7"/>
  <c r="B149" i="7"/>
  <c r="B148" i="7"/>
  <c r="B147" i="7"/>
  <c r="B146" i="7"/>
  <c r="B145" i="7"/>
  <c r="E5" i="7"/>
  <c r="E6" i="7"/>
  <c r="E7" i="7"/>
  <c r="E10" i="7"/>
  <c r="E11" i="7"/>
  <c r="E12" i="7"/>
  <c r="E16" i="7"/>
  <c r="E17" i="7"/>
  <c r="E20" i="7"/>
  <c r="E21" i="7"/>
  <c r="E24" i="7"/>
  <c r="E26" i="7"/>
  <c r="E28" i="7"/>
  <c r="E30" i="7"/>
  <c r="E32" i="7"/>
  <c r="E34" i="7"/>
  <c r="E36" i="7"/>
  <c r="E38" i="7"/>
  <c r="E40" i="7"/>
  <c r="E42" i="7"/>
  <c r="E44" i="7"/>
  <c r="E25" i="7"/>
  <c r="E27" i="7"/>
  <c r="E29" i="7"/>
  <c r="E31" i="7"/>
  <c r="E33" i="7"/>
  <c r="E35" i="7"/>
  <c r="E37" i="7"/>
  <c r="E39" i="7"/>
  <c r="E41" i="7"/>
  <c r="E43" i="7"/>
  <c r="E45" i="7"/>
  <c r="E22" i="7"/>
  <c r="E46" i="7"/>
  <c r="E47" i="7"/>
  <c r="E48" i="7"/>
  <c r="E50" i="7"/>
  <c r="E51" i="7"/>
  <c r="E52" i="7"/>
  <c r="E53" i="7"/>
  <c r="E54" i="7"/>
  <c r="E55" i="7"/>
  <c r="E56" i="7"/>
  <c r="E57" i="7"/>
  <c r="E58" i="7"/>
  <c r="E59" i="7"/>
  <c r="E60" i="7"/>
  <c r="E61" i="7"/>
  <c r="E62" i="7"/>
  <c r="E63" i="7"/>
  <c r="E64" i="7"/>
  <c r="E65" i="7"/>
  <c r="E66" i="7"/>
  <c r="E67" i="7"/>
  <c r="E68" i="7"/>
  <c r="E69" i="7"/>
  <c r="E70" i="7"/>
  <c r="E71" i="7"/>
  <c r="E72" i="7"/>
  <c r="E73" i="7"/>
  <c r="E74" i="7"/>
  <c r="E76" i="7"/>
  <c r="E77" i="7"/>
  <c r="E78" i="7"/>
  <c r="E79" i="7"/>
  <c r="E80" i="7"/>
  <c r="E82" i="7"/>
  <c r="E83" i="7"/>
  <c r="E84" i="7"/>
  <c r="E85" i="7"/>
  <c r="E86" i="7"/>
  <c r="E87" i="7"/>
  <c r="E88" i="7"/>
  <c r="E89" i="7"/>
  <c r="E90" i="7"/>
  <c r="E91" i="7"/>
  <c r="E92" i="7"/>
  <c r="E93" i="7"/>
  <c r="E94" i="7"/>
  <c r="E95" i="7"/>
  <c r="E96" i="7"/>
  <c r="E97" i="7"/>
  <c r="E98" i="7"/>
  <c r="E99" i="7"/>
  <c r="E100" i="7"/>
  <c r="E102" i="7"/>
  <c r="E107" i="7"/>
  <c r="E108" i="7"/>
  <c r="E110" i="7"/>
  <c r="E111" i="7"/>
  <c r="E112" i="7"/>
  <c r="E113" i="7"/>
  <c r="E114" i="7"/>
  <c r="E115" i="7"/>
  <c r="E116" i="7"/>
  <c r="E117" i="7"/>
  <c r="E118" i="7"/>
  <c r="E119" i="7"/>
  <c r="E120" i="7"/>
  <c r="E121" i="7"/>
  <c r="E123" i="7"/>
  <c r="E122" i="7"/>
  <c r="E124" i="7"/>
  <c r="E125" i="7"/>
  <c r="E132" i="7"/>
  <c r="E128" i="7"/>
  <c r="E129" i="7"/>
  <c r="E130" i="7"/>
  <c r="E133" i="7"/>
  <c r="D8" i="7"/>
  <c r="C173" i="7" l="1"/>
  <c r="C190" i="7" s="1"/>
  <c r="C191" i="7" s="1"/>
  <c r="C192" i="7" s="1"/>
  <c r="C193" i="7" s="1"/>
  <c r="C194" i="7" s="1"/>
  <c r="L2" i="1" l="1"/>
  <c r="H77" i="2"/>
  <c r="H78" i="2" s="1"/>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3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77" i="2"/>
  <c r="D41" i="1"/>
  <c r="D40" i="1"/>
  <c r="D39" i="1"/>
  <c r="D38" i="1"/>
  <c r="D37" i="1"/>
  <c r="D36" i="1"/>
  <c r="D35" i="1"/>
  <c r="D34" i="1"/>
  <c r="H41" i="1"/>
  <c r="H37" i="1"/>
  <c r="H36" i="1"/>
  <c r="H35" i="1"/>
  <c r="H34" i="1"/>
  <c r="H38" i="1"/>
  <c r="H39" i="1"/>
  <c r="H40" i="1"/>
  <c r="H42" i="1" l="1"/>
  <c r="D42" i="1"/>
  <c r="C110" i="2" s="1"/>
  <c r="H79" i="2"/>
  <c r="C135" i="2" l="1"/>
  <c r="C152" i="2"/>
  <c r="F152" i="2" s="1"/>
  <c r="C82" i="2"/>
  <c r="C104" i="2"/>
  <c r="C129" i="2"/>
  <c r="C93" i="2"/>
  <c r="C159" i="2"/>
  <c r="F159" i="2" s="1"/>
  <c r="C138" i="2"/>
  <c r="F138" i="2" s="1"/>
  <c r="C100" i="2"/>
  <c r="C128" i="2"/>
  <c r="C151" i="2"/>
  <c r="F151" i="2" s="1"/>
  <c r="C193" i="2"/>
  <c r="F193" i="2" s="1"/>
  <c r="C194" i="2"/>
  <c r="F194" i="2" s="1"/>
  <c r="C108" i="2"/>
  <c r="C182" i="2"/>
  <c r="F182" i="2" s="1"/>
  <c r="C131" i="2"/>
  <c r="C79" i="2"/>
  <c r="C169" i="2"/>
  <c r="F169" i="2" s="1"/>
  <c r="C144" i="2"/>
  <c r="F144" i="2" s="1"/>
  <c r="C185" i="2"/>
  <c r="F185" i="2" s="1"/>
  <c r="C141" i="2"/>
  <c r="F141" i="2" s="1"/>
  <c r="C164" i="2"/>
  <c r="F164" i="2" s="1"/>
  <c r="C101" i="2"/>
  <c r="C90" i="2"/>
  <c r="C142" i="2"/>
  <c r="F142" i="2" s="1"/>
  <c r="C113" i="2"/>
  <c r="C95" i="2"/>
  <c r="C136" i="2"/>
  <c r="C163" i="2"/>
  <c r="F163" i="2" s="1"/>
  <c r="C102" i="2"/>
  <c r="C83" i="2"/>
  <c r="C81" i="2"/>
  <c r="C80" i="2"/>
  <c r="C94" i="2"/>
  <c r="C112" i="2"/>
  <c r="C154" i="2"/>
  <c r="F154" i="2" s="1"/>
  <c r="C157" i="2"/>
  <c r="F157" i="2" s="1"/>
  <c r="C162" i="2"/>
  <c r="F162" i="2" s="1"/>
  <c r="C114" i="2"/>
  <c r="C183" i="2"/>
  <c r="F183" i="2" s="1"/>
  <c r="C123" i="2"/>
  <c r="C120" i="2"/>
  <c r="C86" i="2"/>
  <c r="C196" i="2"/>
  <c r="F196" i="2" s="1"/>
  <c r="C195" i="2"/>
  <c r="F195" i="2" s="1"/>
  <c r="C190" i="2"/>
  <c r="F190" i="2" s="1"/>
  <c r="C78" i="2"/>
  <c r="C115" i="2"/>
  <c r="C168" i="2"/>
  <c r="F168" i="2" s="1"/>
  <c r="C106" i="2"/>
  <c r="C103" i="2"/>
  <c r="C132" i="2"/>
  <c r="C184" i="2"/>
  <c r="F184" i="2" s="1"/>
  <c r="C133" i="2"/>
  <c r="C170" i="2"/>
  <c r="F170" i="2" s="1"/>
  <c r="C111" i="2"/>
  <c r="C173" i="2"/>
  <c r="F173" i="2" s="1"/>
  <c r="C122" i="2"/>
  <c r="C191" i="2"/>
  <c r="F191" i="2" s="1"/>
  <c r="C137" i="2"/>
  <c r="F137" i="2" s="1"/>
  <c r="C107" i="2"/>
  <c r="C158" i="2"/>
  <c r="F158" i="2" s="1"/>
  <c r="C179" i="2"/>
  <c r="F179" i="2" s="1"/>
  <c r="C174" i="2"/>
  <c r="F174" i="2" s="1"/>
  <c r="C172" i="2"/>
  <c r="F172" i="2" s="1"/>
  <c r="C171" i="2"/>
  <c r="F171" i="2" s="1"/>
  <c r="C188" i="2"/>
  <c r="F188" i="2" s="1"/>
  <c r="C134" i="2"/>
  <c r="C117" i="2"/>
  <c r="C175" i="2"/>
  <c r="F175" i="2" s="1"/>
  <c r="C176" i="2"/>
  <c r="F176" i="2" s="1"/>
  <c r="C192" i="2"/>
  <c r="F192" i="2" s="1"/>
  <c r="C178" i="2"/>
  <c r="F178" i="2" s="1"/>
  <c r="C119" i="2"/>
  <c r="C181" i="2"/>
  <c r="F181" i="2" s="1"/>
  <c r="C130" i="2"/>
  <c r="C84" i="2"/>
  <c r="C145" i="2"/>
  <c r="F145" i="2" s="1"/>
  <c r="C91" i="2"/>
  <c r="C139" i="2"/>
  <c r="F139" i="2" s="1"/>
  <c r="C156" i="2"/>
  <c r="F156" i="2" s="1"/>
  <c r="C155" i="2"/>
  <c r="F155" i="2" s="1"/>
  <c r="C150" i="2"/>
  <c r="F150" i="2" s="1"/>
  <c r="C148" i="2"/>
  <c r="F148" i="2" s="1"/>
  <c r="C166" i="2"/>
  <c r="F166" i="2" s="1"/>
  <c r="C126" i="2"/>
  <c r="C124" i="2"/>
  <c r="C125" i="2"/>
  <c r="C165" i="2"/>
  <c r="F165" i="2" s="1"/>
  <c r="C153" i="2"/>
  <c r="F153" i="2" s="1"/>
  <c r="C85" i="2"/>
  <c r="C177" i="2"/>
  <c r="F177" i="2" s="1"/>
  <c r="C186" i="2"/>
  <c r="F186" i="2" s="1"/>
  <c r="C127" i="2"/>
  <c r="C189" i="2"/>
  <c r="F189" i="2" s="1"/>
  <c r="C143" i="2"/>
  <c r="F143" i="2" s="1"/>
  <c r="C92" i="2"/>
  <c r="C161" i="2"/>
  <c r="F161" i="2" s="1"/>
  <c r="C187" i="2"/>
  <c r="F187" i="2" s="1"/>
  <c r="C121" i="2"/>
  <c r="C88" i="2"/>
  <c r="C140" i="2"/>
  <c r="F140" i="2" s="1"/>
  <c r="C180" i="2"/>
  <c r="F180" i="2" s="1"/>
  <c r="C105" i="2"/>
  <c r="C147" i="2"/>
  <c r="F147" i="2" s="1"/>
  <c r="C160" i="2"/>
  <c r="F160" i="2" s="1"/>
  <c r="C109" i="2"/>
  <c r="C146" i="2"/>
  <c r="F146" i="2" s="1"/>
  <c r="C87" i="2"/>
  <c r="C149" i="2"/>
  <c r="F149" i="2" s="1"/>
  <c r="C98" i="2"/>
  <c r="C167" i="2"/>
  <c r="F167" i="2" s="1"/>
  <c r="C116" i="2"/>
  <c r="C77" i="2"/>
  <c r="G77" i="2" s="1"/>
  <c r="C89" i="2"/>
  <c r="C118" i="2"/>
  <c r="C99" i="2"/>
  <c r="C97" i="2"/>
  <c r="C96" i="2"/>
  <c r="H80" i="2"/>
  <c r="G78" i="2" l="1"/>
  <c r="I78" i="2" s="1"/>
  <c r="I77" i="2"/>
  <c r="J77" i="2"/>
  <c r="H81" i="2"/>
  <c r="G79" i="2" l="1"/>
  <c r="I79" i="2" s="1"/>
  <c r="J78" i="2"/>
  <c r="G80" i="2"/>
  <c r="J80" i="2" s="1"/>
  <c r="J79" i="2"/>
  <c r="H82" i="2"/>
  <c r="I80" i="2" l="1"/>
  <c r="G81" i="2"/>
  <c r="G82" i="2" s="1"/>
  <c r="H83" i="2"/>
  <c r="J81" i="2"/>
  <c r="I81" i="2" l="1"/>
  <c r="H84" i="2"/>
  <c r="G83" i="2"/>
  <c r="J82" i="2"/>
  <c r="I82" i="2"/>
  <c r="H85" i="2" l="1"/>
  <c r="G84" i="2"/>
  <c r="J83" i="2"/>
  <c r="I83" i="2"/>
  <c r="H86" i="2" l="1"/>
  <c r="G85" i="2"/>
  <c r="J84" i="2"/>
  <c r="I84" i="2"/>
  <c r="G86" i="2" l="1"/>
  <c r="J85" i="2"/>
  <c r="H87" i="2"/>
  <c r="I85" i="2"/>
  <c r="G87" i="2" l="1"/>
  <c r="J86" i="2"/>
  <c r="H88" i="2"/>
  <c r="I86" i="2"/>
  <c r="G88" i="2" l="1"/>
  <c r="I88" i="2" s="1"/>
  <c r="J87" i="2"/>
  <c r="H89" i="2"/>
  <c r="I87" i="2"/>
  <c r="H90" i="2" l="1"/>
  <c r="G89" i="2"/>
  <c r="J88" i="2"/>
  <c r="G90" i="2" l="1"/>
  <c r="J89" i="2"/>
  <c r="H91" i="2"/>
  <c r="I89" i="2"/>
  <c r="H92" i="2" l="1"/>
  <c r="G91" i="2"/>
  <c r="J90" i="2"/>
  <c r="I90" i="2"/>
  <c r="G92" i="2" l="1"/>
  <c r="J91" i="2"/>
  <c r="I91" i="2"/>
  <c r="H93" i="2"/>
  <c r="G93" i="2" l="1"/>
  <c r="J92" i="2"/>
  <c r="I92" i="2"/>
  <c r="H94" i="2"/>
  <c r="G94" i="2" l="1"/>
  <c r="J93" i="2"/>
  <c r="I93" i="2"/>
  <c r="H95" i="2"/>
  <c r="G95" i="2" l="1"/>
  <c r="J94" i="2"/>
  <c r="I94" i="2"/>
  <c r="H96" i="2"/>
  <c r="B8" i="2"/>
  <c r="C12" i="2"/>
  <c r="D12" i="2" s="1"/>
  <c r="E12" i="2"/>
  <c r="B13" i="2"/>
  <c r="B14" i="2" s="1"/>
  <c r="B15" i="2" s="1"/>
  <c r="B16" i="2" s="1"/>
  <c r="B17" i="2" s="1"/>
  <c r="B18" i="2" s="1"/>
  <c r="B19" i="2" s="1"/>
  <c r="B20" i="2" s="1"/>
  <c r="B21" i="2" s="1"/>
  <c r="B22" i="2" s="1"/>
  <c r="E22" i="2" s="1"/>
  <c r="B6" i="2"/>
  <c r="G96" i="2" l="1"/>
  <c r="I96" i="2" s="1"/>
  <c r="J95" i="2"/>
  <c r="I95" i="2"/>
  <c r="H97" i="2"/>
  <c r="F12" i="2"/>
  <c r="B137" i="2" s="1"/>
  <c r="B23" i="2"/>
  <c r="E21" i="2"/>
  <c r="E13" i="2"/>
  <c r="E18" i="2"/>
  <c r="E16" i="2"/>
  <c r="E20" i="2"/>
  <c r="E17" i="2"/>
  <c r="E15" i="2"/>
  <c r="E14" i="2"/>
  <c r="E19" i="2"/>
  <c r="C15" i="2"/>
  <c r="C14" i="2"/>
  <c r="C13" i="2"/>
  <c r="C16" i="2"/>
  <c r="G97" i="2" l="1"/>
  <c r="J96" i="2"/>
  <c r="H98" i="2"/>
  <c r="D13" i="2"/>
  <c r="F13" i="2" s="1"/>
  <c r="B138" i="2" s="1"/>
  <c r="E23" i="2"/>
  <c r="B24" i="2"/>
  <c r="C23" i="2"/>
  <c r="D23" i="2" s="1"/>
  <c r="D15" i="2"/>
  <c r="F15" i="2" s="1"/>
  <c r="B140" i="2" s="1"/>
  <c r="D14" i="2"/>
  <c r="F14" i="2" s="1"/>
  <c r="B139" i="2" s="1"/>
  <c r="D16" i="2"/>
  <c r="F16" i="2" s="1"/>
  <c r="B141" i="2" s="1"/>
  <c r="C17" i="2"/>
  <c r="H99" i="2" l="1"/>
  <c r="G98" i="2"/>
  <c r="J97" i="2"/>
  <c r="I97" i="2"/>
  <c r="F23" i="2"/>
  <c r="B148" i="2" s="1"/>
  <c r="D17" i="2"/>
  <c r="F17" i="2" s="1"/>
  <c r="B142" i="2" s="1"/>
  <c r="B25" i="2"/>
  <c r="C24" i="2"/>
  <c r="D24" i="2" s="1"/>
  <c r="E24" i="2"/>
  <c r="C18" i="2"/>
  <c r="H100" i="2" l="1"/>
  <c r="G99" i="2"/>
  <c r="J98" i="2"/>
  <c r="I98" i="2"/>
  <c r="D18" i="2"/>
  <c r="F18" i="2" s="1"/>
  <c r="B143" i="2" s="1"/>
  <c r="F24" i="2"/>
  <c r="B149" i="2" s="1"/>
  <c r="E25" i="2"/>
  <c r="B26" i="2"/>
  <c r="C25" i="2"/>
  <c r="D25" i="2" s="1"/>
  <c r="C19" i="2"/>
  <c r="H101" i="2" l="1"/>
  <c r="G100" i="2"/>
  <c r="I100" i="2" s="1"/>
  <c r="J99" i="2"/>
  <c r="I99" i="2"/>
  <c r="F25" i="2"/>
  <c r="B150" i="2" s="1"/>
  <c r="E26" i="2"/>
  <c r="C26" i="2"/>
  <c r="D26" i="2" s="1"/>
  <c r="B27" i="2"/>
  <c r="D19" i="2"/>
  <c r="F19" i="2" s="1"/>
  <c r="B144" i="2" s="1"/>
  <c r="C20" i="2"/>
  <c r="G101" i="2" l="1"/>
  <c r="J100" i="2"/>
  <c r="H102" i="2"/>
  <c r="D20" i="2"/>
  <c r="F20" i="2" s="1"/>
  <c r="B145" i="2" s="1"/>
  <c r="E27" i="2"/>
  <c r="C27" i="2"/>
  <c r="D27" i="2" s="1"/>
  <c r="B28" i="2"/>
  <c r="F26" i="2"/>
  <c r="B151" i="2" s="1"/>
  <c r="G102" i="2" l="1"/>
  <c r="J101" i="2"/>
  <c r="I101" i="2"/>
  <c r="H103" i="2"/>
  <c r="F27" i="2"/>
  <c r="B152" i="2" s="1"/>
  <c r="B29" i="2"/>
  <c r="E28" i="2"/>
  <c r="C28" i="2"/>
  <c r="D28" i="2" s="1"/>
  <c r="C21" i="2"/>
  <c r="C22" i="2"/>
  <c r="H104" i="2" l="1"/>
  <c r="G103" i="2"/>
  <c r="J102" i="2"/>
  <c r="I102" i="2"/>
  <c r="F28" i="2"/>
  <c r="B153" i="2" s="1"/>
  <c r="D21" i="2"/>
  <c r="F21" i="2" s="1"/>
  <c r="B146" i="2" s="1"/>
  <c r="D22" i="2"/>
  <c r="F22" i="2" s="1"/>
  <c r="B147" i="2" s="1"/>
  <c r="B30" i="2"/>
  <c r="E29" i="2"/>
  <c r="C29" i="2"/>
  <c r="D29" i="2" s="1"/>
  <c r="G104" i="2" l="1"/>
  <c r="I104" i="2" s="1"/>
  <c r="J103" i="2"/>
  <c r="I103" i="2"/>
  <c r="H105" i="2"/>
  <c r="F29" i="2"/>
  <c r="B154" i="2" s="1"/>
  <c r="B31" i="2"/>
  <c r="E30" i="2"/>
  <c r="C30" i="2"/>
  <c r="D30" i="2" s="1"/>
  <c r="H106" i="2" l="1"/>
  <c r="G105" i="2"/>
  <c r="J104" i="2"/>
  <c r="C31" i="2"/>
  <c r="D31" i="2" s="1"/>
  <c r="B32" i="2"/>
  <c r="E31" i="2"/>
  <c r="F30" i="2"/>
  <c r="B155" i="2" s="1"/>
  <c r="G106" i="2" l="1"/>
  <c r="I106" i="2" s="1"/>
  <c r="J105" i="2"/>
  <c r="I105" i="2"/>
  <c r="H107" i="2"/>
  <c r="E32" i="2"/>
  <c r="B33" i="2"/>
  <c r="C32" i="2"/>
  <c r="D32" i="2" s="1"/>
  <c r="F31" i="2"/>
  <c r="B156" i="2" s="1"/>
  <c r="H108" i="2" l="1"/>
  <c r="G107" i="2"/>
  <c r="J106" i="2"/>
  <c r="F32" i="2"/>
  <c r="B157" i="2" s="1"/>
  <c r="C33" i="2"/>
  <c r="D33" i="2" s="1"/>
  <c r="E33" i="2"/>
  <c r="B34" i="2"/>
  <c r="G108" i="2" l="1"/>
  <c r="I108" i="2" s="1"/>
  <c r="J107" i="2"/>
  <c r="I107" i="2"/>
  <c r="H109" i="2"/>
  <c r="C34" i="2"/>
  <c r="D34" i="2" s="1"/>
  <c r="E34" i="2"/>
  <c r="B35" i="2"/>
  <c r="F33" i="2"/>
  <c r="B158" i="2" s="1"/>
  <c r="H110" i="2" l="1"/>
  <c r="G109" i="2"/>
  <c r="J108" i="2"/>
  <c r="F34" i="2"/>
  <c r="B159" i="2" s="1"/>
  <c r="E35" i="2"/>
  <c r="C35" i="2"/>
  <c r="D35" i="2" s="1"/>
  <c r="B36" i="2"/>
  <c r="G110" i="2" l="1"/>
  <c r="I110" i="2" s="1"/>
  <c r="J109" i="2"/>
  <c r="I109" i="2"/>
  <c r="H111" i="2"/>
  <c r="F35" i="2"/>
  <c r="B160" i="2" s="1"/>
  <c r="C36" i="2"/>
  <c r="D36" i="2" s="1"/>
  <c r="B37" i="2"/>
  <c r="E36" i="2"/>
  <c r="H112" i="2" l="1"/>
  <c r="G111" i="2"/>
  <c r="I111" i="2" s="1"/>
  <c r="J110" i="2"/>
  <c r="E37" i="2"/>
  <c r="B38" i="2"/>
  <c r="C37" i="2"/>
  <c r="D37" i="2" s="1"/>
  <c r="F36" i="2"/>
  <c r="B161" i="2" s="1"/>
  <c r="G112" i="2" l="1"/>
  <c r="I112" i="2" s="1"/>
  <c r="J111" i="2"/>
  <c r="H113" i="2"/>
  <c r="F37" i="2"/>
  <c r="B162" i="2" s="1"/>
  <c r="E38" i="2"/>
  <c r="C38" i="2"/>
  <c r="D38" i="2" s="1"/>
  <c r="B39" i="2"/>
  <c r="H114" i="2" l="1"/>
  <c r="G113" i="2"/>
  <c r="J112" i="2"/>
  <c r="F38" i="2"/>
  <c r="B163" i="2" s="1"/>
  <c r="C39" i="2"/>
  <c r="D39" i="2" s="1"/>
  <c r="E39" i="2"/>
  <c r="B40" i="2"/>
  <c r="Z3" i="1"/>
  <c r="Z4" i="1"/>
  <c r="Z5" i="1"/>
  <c r="Z6" i="1"/>
  <c r="Z7" i="1"/>
  <c r="Z8" i="1"/>
  <c r="Z9" i="1"/>
  <c r="Z10" i="1"/>
  <c r="Z11" i="1"/>
  <c r="Z12" i="1"/>
  <c r="Z13" i="1"/>
  <c r="Z14" i="1"/>
  <c r="Z15" i="1"/>
  <c r="Z16" i="1"/>
  <c r="Z17" i="1"/>
  <c r="Z18" i="1"/>
  <c r="Z19" i="1"/>
  <c r="Z20" i="1"/>
  <c r="Z2" i="1"/>
  <c r="X3" i="1"/>
  <c r="X4" i="1"/>
  <c r="X5" i="1"/>
  <c r="X6" i="1"/>
  <c r="X7" i="1"/>
  <c r="X8" i="1"/>
  <c r="X9" i="1"/>
  <c r="X10" i="1"/>
  <c r="X11" i="1"/>
  <c r="X12" i="1"/>
  <c r="X13" i="1"/>
  <c r="X14" i="1"/>
  <c r="X15" i="1"/>
  <c r="X16" i="1"/>
  <c r="X17" i="1"/>
  <c r="X18" i="1"/>
  <c r="X19" i="1"/>
  <c r="X20" i="1"/>
  <c r="X2" i="1"/>
  <c r="V3" i="1"/>
  <c r="V4" i="1"/>
  <c r="V5" i="1"/>
  <c r="V6" i="1"/>
  <c r="V7" i="1"/>
  <c r="V8" i="1"/>
  <c r="V9" i="1"/>
  <c r="V10" i="1"/>
  <c r="V11" i="1"/>
  <c r="V12" i="1"/>
  <c r="V13" i="1"/>
  <c r="V14" i="1"/>
  <c r="V15" i="1"/>
  <c r="V16" i="1"/>
  <c r="V17" i="1"/>
  <c r="V18" i="1"/>
  <c r="V19" i="1"/>
  <c r="V20" i="1"/>
  <c r="V2" i="1"/>
  <c r="T3" i="1"/>
  <c r="T4" i="1"/>
  <c r="T5" i="1"/>
  <c r="T6" i="1"/>
  <c r="T7" i="1"/>
  <c r="T8" i="1"/>
  <c r="T9" i="1"/>
  <c r="T10" i="1"/>
  <c r="T11" i="1"/>
  <c r="T12" i="1"/>
  <c r="T13" i="1"/>
  <c r="T14" i="1"/>
  <c r="T15" i="1"/>
  <c r="T16" i="1"/>
  <c r="T17" i="1"/>
  <c r="T18" i="1"/>
  <c r="T19" i="1"/>
  <c r="T20" i="1"/>
  <c r="T2" i="1"/>
  <c r="R3" i="1"/>
  <c r="R4" i="1"/>
  <c r="R5" i="1"/>
  <c r="R6" i="1"/>
  <c r="R7" i="1"/>
  <c r="R8" i="1"/>
  <c r="R9" i="1"/>
  <c r="R10" i="1"/>
  <c r="R11" i="1"/>
  <c r="R12" i="1"/>
  <c r="R13" i="1"/>
  <c r="R14" i="1"/>
  <c r="R15" i="1"/>
  <c r="R16" i="1"/>
  <c r="R17" i="1"/>
  <c r="R18" i="1"/>
  <c r="R19" i="1"/>
  <c r="R20" i="1"/>
  <c r="R2" i="1"/>
  <c r="P3" i="1"/>
  <c r="P4" i="1"/>
  <c r="P5" i="1"/>
  <c r="P6" i="1"/>
  <c r="P7" i="1"/>
  <c r="P8" i="1"/>
  <c r="P9" i="1"/>
  <c r="P10" i="1"/>
  <c r="P11" i="1"/>
  <c r="P12" i="1"/>
  <c r="P13" i="1"/>
  <c r="P14" i="1"/>
  <c r="P15" i="1"/>
  <c r="P16" i="1"/>
  <c r="P17" i="1"/>
  <c r="P18" i="1"/>
  <c r="P19" i="1"/>
  <c r="P20" i="1"/>
  <c r="P2" i="1"/>
  <c r="N3" i="1"/>
  <c r="N4" i="1"/>
  <c r="N5" i="1"/>
  <c r="N6" i="1"/>
  <c r="N7" i="1"/>
  <c r="N8" i="1"/>
  <c r="N9" i="1"/>
  <c r="N10" i="1"/>
  <c r="N11" i="1"/>
  <c r="N12" i="1"/>
  <c r="N13" i="1"/>
  <c r="N14" i="1"/>
  <c r="N15" i="1"/>
  <c r="N16" i="1"/>
  <c r="N17" i="1"/>
  <c r="N18" i="1"/>
  <c r="N19" i="1"/>
  <c r="N20" i="1"/>
  <c r="N2" i="1"/>
  <c r="L3" i="1"/>
  <c r="L4" i="1"/>
  <c r="L5" i="1"/>
  <c r="L6" i="1"/>
  <c r="L7" i="1"/>
  <c r="L8" i="1"/>
  <c r="L9" i="1"/>
  <c r="L10" i="1"/>
  <c r="L11" i="1"/>
  <c r="L12" i="1"/>
  <c r="L13" i="1"/>
  <c r="L14" i="1"/>
  <c r="L15" i="1"/>
  <c r="L16" i="1"/>
  <c r="L17" i="1"/>
  <c r="L18" i="1"/>
  <c r="L19" i="1"/>
  <c r="L20" i="1"/>
  <c r="H21" i="1"/>
  <c r="G114" i="2" l="1"/>
  <c r="I114" i="2" s="1"/>
  <c r="J113" i="2"/>
  <c r="I113" i="2"/>
  <c r="H115" i="2"/>
  <c r="X21" i="1"/>
  <c r="C39" i="1" s="1"/>
  <c r="I39" i="1" s="1"/>
  <c r="R21" i="1"/>
  <c r="C38" i="1" s="1"/>
  <c r="I38" i="1" s="1"/>
  <c r="V21" i="1"/>
  <c r="C34" i="1" s="1"/>
  <c r="P21" i="1"/>
  <c r="C37" i="1" s="1"/>
  <c r="I37" i="1" s="1"/>
  <c r="T21" i="1"/>
  <c r="C35" i="1" s="1"/>
  <c r="I35" i="1" s="1"/>
  <c r="N21" i="1"/>
  <c r="C36" i="1" s="1"/>
  <c r="I36" i="1" s="1"/>
  <c r="Z21" i="1"/>
  <c r="C41" i="1" s="1"/>
  <c r="I41" i="1" s="1"/>
  <c r="C40" i="2"/>
  <c r="D40" i="2" s="1"/>
  <c r="B41" i="2"/>
  <c r="E40" i="2"/>
  <c r="F39" i="2"/>
  <c r="B164" i="2" s="1"/>
  <c r="L21" i="1"/>
  <c r="C40" i="1" s="1"/>
  <c r="I40" i="1" s="1"/>
  <c r="H116" i="2" l="1"/>
  <c r="G115" i="2"/>
  <c r="I115" i="2" s="1"/>
  <c r="J114" i="2"/>
  <c r="I34" i="1"/>
  <c r="C42" i="1"/>
  <c r="I42" i="1"/>
  <c r="E41" i="2"/>
  <c r="C41" i="2"/>
  <c r="D41" i="2" s="1"/>
  <c r="B42" i="2"/>
  <c r="F40" i="2"/>
  <c r="B165" i="2" s="1"/>
  <c r="H117" i="2" l="1"/>
  <c r="G116" i="2"/>
  <c r="I116" i="2" s="1"/>
  <c r="J115" i="2"/>
  <c r="F41" i="2"/>
  <c r="B166" i="2" s="1"/>
  <c r="C42" i="2"/>
  <c r="D42" i="2" s="1"/>
  <c r="E42" i="2"/>
  <c r="B43" i="2"/>
  <c r="H118" i="2" l="1"/>
  <c r="G117" i="2"/>
  <c r="I117" i="2" s="1"/>
  <c r="J116" i="2"/>
  <c r="E43" i="2"/>
  <c r="B44" i="2"/>
  <c r="C43" i="2"/>
  <c r="D43" i="2" s="1"/>
  <c r="F42" i="2"/>
  <c r="B167" i="2" s="1"/>
  <c r="H119" i="2" l="1"/>
  <c r="G118" i="2"/>
  <c r="I118" i="2" s="1"/>
  <c r="J117" i="2"/>
  <c r="F43" i="2"/>
  <c r="B168" i="2" s="1"/>
  <c r="B45" i="2"/>
  <c r="E44" i="2"/>
  <c r="C44" i="2"/>
  <c r="D44" i="2" s="1"/>
  <c r="F44" i="2" s="1"/>
  <c r="B169" i="2" s="1"/>
  <c r="H120" i="2" l="1"/>
  <c r="G119" i="2"/>
  <c r="I119" i="2" s="1"/>
  <c r="J118" i="2"/>
  <c r="C45" i="2"/>
  <c r="D45" i="2" s="1"/>
  <c r="E45" i="2"/>
  <c r="B46" i="2"/>
  <c r="H121" i="2" l="1"/>
  <c r="G120" i="2"/>
  <c r="I120" i="2" s="1"/>
  <c r="J119" i="2"/>
  <c r="E46" i="2"/>
  <c r="B47" i="2"/>
  <c r="C46" i="2"/>
  <c r="D46" i="2" s="1"/>
  <c r="F45" i="2"/>
  <c r="B170" i="2" s="1"/>
  <c r="H122" i="2" l="1"/>
  <c r="G121" i="2"/>
  <c r="I121" i="2" s="1"/>
  <c r="J120" i="2"/>
  <c r="F46" i="2"/>
  <c r="B171" i="2" s="1"/>
  <c r="E47" i="2"/>
  <c r="B48" i="2"/>
  <c r="C47" i="2"/>
  <c r="D47" i="2" s="1"/>
  <c r="H123" i="2" l="1"/>
  <c r="G122" i="2"/>
  <c r="I122" i="2" s="1"/>
  <c r="J121" i="2"/>
  <c r="F47" i="2"/>
  <c r="B172" i="2" s="1"/>
  <c r="B49" i="2"/>
  <c r="C48" i="2"/>
  <c r="D48" i="2" s="1"/>
  <c r="E48" i="2"/>
  <c r="H124" i="2" l="1"/>
  <c r="G123" i="2"/>
  <c r="I123" i="2" s="1"/>
  <c r="J122" i="2"/>
  <c r="F48" i="2"/>
  <c r="B173" i="2" s="1"/>
  <c r="E49" i="2"/>
  <c r="C49" i="2"/>
  <c r="D49" i="2" s="1"/>
  <c r="F49" i="2" s="1"/>
  <c r="B174" i="2" s="1"/>
  <c r="B50" i="2"/>
  <c r="H125" i="2" l="1"/>
  <c r="G124" i="2"/>
  <c r="I124" i="2" s="1"/>
  <c r="J123" i="2"/>
  <c r="C50" i="2"/>
  <c r="D50" i="2" s="1"/>
  <c r="E50" i="2"/>
  <c r="B51" i="2"/>
  <c r="H126" i="2" l="1"/>
  <c r="G125" i="2"/>
  <c r="I125" i="2" s="1"/>
  <c r="J124" i="2"/>
  <c r="F50" i="2"/>
  <c r="B175" i="2" s="1"/>
  <c r="B52" i="2"/>
  <c r="C51" i="2"/>
  <c r="D51" i="2" s="1"/>
  <c r="E51" i="2"/>
  <c r="H127" i="2" l="1"/>
  <c r="G126" i="2"/>
  <c r="I126" i="2" s="1"/>
  <c r="J125" i="2"/>
  <c r="F51" i="2"/>
  <c r="B176" i="2" s="1"/>
  <c r="C52" i="2"/>
  <c r="D52" i="2" s="1"/>
  <c r="E52" i="2"/>
  <c r="B53" i="2"/>
  <c r="H128" i="2" l="1"/>
  <c r="G127" i="2"/>
  <c r="J126" i="2"/>
  <c r="C53" i="2"/>
  <c r="D53" i="2" s="1"/>
  <c r="B54" i="2"/>
  <c r="E53" i="2"/>
  <c r="F52" i="2"/>
  <c r="B177" i="2" s="1"/>
  <c r="H129" i="2" l="1"/>
  <c r="G128" i="2"/>
  <c r="J127" i="2"/>
  <c r="I127" i="2"/>
  <c r="F53" i="2"/>
  <c r="B178" i="2" s="1"/>
  <c r="B55" i="2"/>
  <c r="E54" i="2"/>
  <c r="C54" i="2"/>
  <c r="D54" i="2" s="1"/>
  <c r="H130" i="2" l="1"/>
  <c r="G129" i="2"/>
  <c r="J128" i="2"/>
  <c r="I128" i="2"/>
  <c r="C55" i="2"/>
  <c r="D55" i="2" s="1"/>
  <c r="E55" i="2"/>
  <c r="B56" i="2"/>
  <c r="F54" i="2"/>
  <c r="B179" i="2" s="1"/>
  <c r="H131" i="2" l="1"/>
  <c r="G130" i="2"/>
  <c r="J129" i="2"/>
  <c r="I129" i="2"/>
  <c r="F55" i="2"/>
  <c r="B180" i="2" s="1"/>
  <c r="E56" i="2"/>
  <c r="B57" i="2"/>
  <c r="C56" i="2"/>
  <c r="D56" i="2" s="1"/>
  <c r="F56" i="2" s="1"/>
  <c r="B181" i="2" s="1"/>
  <c r="H132" i="2" l="1"/>
  <c r="G131" i="2"/>
  <c r="J130" i="2"/>
  <c r="I130" i="2"/>
  <c r="E57" i="2"/>
  <c r="B58" i="2"/>
  <c r="C57" i="2"/>
  <c r="D57" i="2" s="1"/>
  <c r="H133" i="2" l="1"/>
  <c r="G132" i="2"/>
  <c r="J131" i="2"/>
  <c r="I131" i="2"/>
  <c r="F57" i="2"/>
  <c r="B182" i="2" s="1"/>
  <c r="C58" i="2"/>
  <c r="D58" i="2" s="1"/>
  <c r="B59" i="2"/>
  <c r="E58" i="2"/>
  <c r="H134" i="2" l="1"/>
  <c r="G133" i="2"/>
  <c r="J132" i="2"/>
  <c r="I132" i="2"/>
  <c r="F58" i="2"/>
  <c r="B183" i="2" s="1"/>
  <c r="C59" i="2"/>
  <c r="D59" i="2" s="1"/>
  <c r="B60" i="2"/>
  <c r="E59" i="2"/>
  <c r="H135" i="2" l="1"/>
  <c r="G134" i="2"/>
  <c r="J133" i="2"/>
  <c r="I133" i="2"/>
  <c r="C60" i="2"/>
  <c r="D60" i="2" s="1"/>
  <c r="B61" i="2"/>
  <c r="E60" i="2"/>
  <c r="F59" i="2"/>
  <c r="B184" i="2" s="1"/>
  <c r="G135" i="2" l="1"/>
  <c r="I135" i="2" s="1"/>
  <c r="J134" i="2"/>
  <c r="I134" i="2"/>
  <c r="H136" i="2"/>
  <c r="F60" i="2"/>
  <c r="B185" i="2" s="1"/>
  <c r="E61" i="2"/>
  <c r="C61" i="2"/>
  <c r="D61" i="2" s="1"/>
  <c r="F61" i="2" s="1"/>
  <c r="B186" i="2" s="1"/>
  <c r="B62" i="2"/>
  <c r="H137" i="2" l="1"/>
  <c r="G136" i="2"/>
  <c r="J135" i="2"/>
  <c r="E62" i="2"/>
  <c r="C62" i="2"/>
  <c r="D62" i="2" s="1"/>
  <c r="B63" i="2"/>
  <c r="H138" i="2" l="1"/>
  <c r="J136" i="2"/>
  <c r="G137" i="2"/>
  <c r="I136" i="2"/>
  <c r="F62" i="2"/>
  <c r="B187" i="2" s="1"/>
  <c r="B64" i="2"/>
  <c r="E63" i="2"/>
  <c r="C63" i="2"/>
  <c r="D63" i="2" s="1"/>
  <c r="J137" i="2" l="1"/>
  <c r="G138" i="2"/>
  <c r="I138" i="2" s="1"/>
  <c r="H139" i="2"/>
  <c r="I137" i="2"/>
  <c r="E64" i="2"/>
  <c r="B65" i="2"/>
  <c r="C64" i="2"/>
  <c r="D64" i="2" s="1"/>
  <c r="F63" i="2"/>
  <c r="B188" i="2" s="1"/>
  <c r="H140" i="2" l="1"/>
  <c r="J138" i="2"/>
  <c r="G139" i="2"/>
  <c r="F64" i="2"/>
  <c r="B189" i="2" s="1"/>
  <c r="E65" i="2"/>
  <c r="B66" i="2"/>
  <c r="C65" i="2"/>
  <c r="D65" i="2" s="1"/>
  <c r="G140" i="2" l="1"/>
  <c r="I140" i="2" s="1"/>
  <c r="J139" i="2"/>
  <c r="I139" i="2"/>
  <c r="H141" i="2"/>
  <c r="F65" i="2"/>
  <c r="B190" i="2" s="1"/>
  <c r="C66" i="2"/>
  <c r="D66" i="2" s="1"/>
  <c r="E66" i="2"/>
  <c r="B67" i="2"/>
  <c r="H142" i="2" l="1"/>
  <c r="G141" i="2"/>
  <c r="J140" i="2"/>
  <c r="F66" i="2"/>
  <c r="B191" i="2" s="1"/>
  <c r="E67" i="2"/>
  <c r="C67" i="2"/>
  <c r="D67" i="2" s="1"/>
  <c r="B68" i="2"/>
  <c r="H143" i="2" l="1"/>
  <c r="G142" i="2"/>
  <c r="J141" i="2"/>
  <c r="I141" i="2"/>
  <c r="F67" i="2"/>
  <c r="B192" i="2" s="1"/>
  <c r="B69" i="2"/>
  <c r="E68" i="2"/>
  <c r="C68" i="2"/>
  <c r="D68" i="2" s="1"/>
  <c r="F68" i="2" s="1"/>
  <c r="B193" i="2" s="1"/>
  <c r="H144" i="2" l="1"/>
  <c r="G143" i="2"/>
  <c r="J142" i="2"/>
  <c r="I142" i="2"/>
  <c r="E69" i="2"/>
  <c r="B70" i="2"/>
  <c r="C69" i="2"/>
  <c r="D69" i="2" s="1"/>
  <c r="H145" i="2" l="1"/>
  <c r="G144" i="2"/>
  <c r="J143" i="2"/>
  <c r="I143" i="2"/>
  <c r="E70" i="2"/>
  <c r="C70" i="2"/>
  <c r="D70" i="2" s="1"/>
  <c r="B71" i="2"/>
  <c r="F69" i="2"/>
  <c r="B194" i="2" s="1"/>
  <c r="H146" i="2" l="1"/>
  <c r="G145" i="2"/>
  <c r="J144" i="2"/>
  <c r="I144" i="2"/>
  <c r="F70" i="2"/>
  <c r="B195" i="2" s="1"/>
  <c r="C71" i="2"/>
  <c r="D71" i="2" s="1"/>
  <c r="E71" i="2"/>
  <c r="H147" i="2" l="1"/>
  <c r="G146" i="2"/>
  <c r="J145" i="2"/>
  <c r="I145" i="2"/>
  <c r="F71" i="2"/>
  <c r="B196" i="2" s="1"/>
  <c r="G147" i="2" l="1"/>
  <c r="I147" i="2" s="1"/>
  <c r="J146" i="2"/>
  <c r="I146" i="2"/>
  <c r="H148" i="2"/>
  <c r="H149" i="2" l="1"/>
  <c r="G148" i="2"/>
  <c r="J147" i="2"/>
  <c r="G149" i="2" l="1"/>
  <c r="J148" i="2"/>
  <c r="I148" i="2"/>
  <c r="H150" i="2"/>
  <c r="G150" i="2" l="1"/>
  <c r="I150" i="2" s="1"/>
  <c r="J149" i="2"/>
  <c r="I149" i="2"/>
  <c r="H151" i="2"/>
  <c r="G151" i="2" l="1"/>
  <c r="J150" i="2"/>
  <c r="H152" i="2"/>
  <c r="G152" i="2" l="1"/>
  <c r="I152" i="2" s="1"/>
  <c r="J151" i="2"/>
  <c r="I151" i="2"/>
  <c r="H153" i="2"/>
  <c r="G153" i="2" l="1"/>
  <c r="J152" i="2"/>
  <c r="H154" i="2"/>
  <c r="G154" i="2" l="1"/>
  <c r="I154" i="2" s="1"/>
  <c r="J153" i="2"/>
  <c r="I153" i="2"/>
  <c r="H155" i="2"/>
  <c r="G155" i="2" l="1"/>
  <c r="I155" i="2" s="1"/>
  <c r="J154" i="2"/>
  <c r="H156" i="2"/>
  <c r="H157" i="2" l="1"/>
  <c r="G156" i="2"/>
  <c r="J155" i="2"/>
  <c r="G157" i="2" l="1"/>
  <c r="I157" i="2" s="1"/>
  <c r="J156" i="2"/>
  <c r="I156" i="2"/>
  <c r="H158" i="2"/>
  <c r="H159" i="2" l="1"/>
  <c r="G158" i="2"/>
  <c r="J157" i="2"/>
  <c r="G159" i="2" l="1"/>
  <c r="J158" i="2"/>
  <c r="I158" i="2"/>
  <c r="H160" i="2"/>
  <c r="I159" i="2"/>
  <c r="H161" i="2" l="1"/>
  <c r="G160" i="2"/>
  <c r="I160" i="2" s="1"/>
  <c r="J159" i="2"/>
  <c r="H162" i="2" l="1"/>
  <c r="G161" i="2"/>
  <c r="J160" i="2"/>
  <c r="G162" i="2" l="1"/>
  <c r="I162" i="2" s="1"/>
  <c r="J161" i="2"/>
  <c r="I161" i="2"/>
  <c r="H163" i="2"/>
  <c r="G163" i="2" l="1"/>
  <c r="I163" i="2" s="1"/>
  <c r="J162" i="2"/>
  <c r="H164" i="2"/>
  <c r="H165" i="2" l="1"/>
  <c r="G164" i="2"/>
  <c r="I164" i="2" s="1"/>
  <c r="J163" i="2"/>
  <c r="H166" i="2" l="1"/>
  <c r="G165" i="2"/>
  <c r="I165" i="2" s="1"/>
  <c r="J164" i="2"/>
  <c r="H167" i="2" l="1"/>
  <c r="G166" i="2"/>
  <c r="I166" i="2" s="1"/>
  <c r="J165" i="2"/>
  <c r="G167" i="2" l="1"/>
  <c r="I167" i="2" s="1"/>
  <c r="J166" i="2"/>
  <c r="H168" i="2"/>
  <c r="H169" i="2" l="1"/>
  <c r="G168" i="2"/>
  <c r="I168" i="2" s="1"/>
  <c r="J167" i="2"/>
  <c r="G169" i="2" l="1"/>
  <c r="I169" i="2" s="1"/>
  <c r="J168" i="2"/>
  <c r="H170" i="2"/>
  <c r="H171" i="2" l="1"/>
  <c r="G170" i="2"/>
  <c r="J169" i="2"/>
  <c r="G171" i="2" l="1"/>
  <c r="I171" i="2" s="1"/>
  <c r="J170" i="2"/>
  <c r="I170" i="2"/>
  <c r="H172" i="2"/>
  <c r="H173" i="2" l="1"/>
  <c r="G172" i="2"/>
  <c r="I172" i="2" s="1"/>
  <c r="J171" i="2"/>
  <c r="G173" i="2" l="1"/>
  <c r="I173" i="2" s="1"/>
  <c r="J172" i="2"/>
  <c r="H174" i="2"/>
  <c r="H175" i="2" l="1"/>
  <c r="G174" i="2"/>
  <c r="J173" i="2"/>
  <c r="G175" i="2" l="1"/>
  <c r="J174" i="2"/>
  <c r="I174" i="2"/>
  <c r="H176" i="2"/>
  <c r="G176" i="2" l="1"/>
  <c r="J175" i="2"/>
  <c r="I175" i="2"/>
  <c r="H177" i="2"/>
  <c r="I176" i="2"/>
  <c r="H178" i="2" l="1"/>
  <c r="G177" i="2"/>
  <c r="J176" i="2"/>
  <c r="G178" i="2" l="1"/>
  <c r="I178" i="2" s="1"/>
  <c r="J177" i="2"/>
  <c r="I177" i="2"/>
  <c r="H179" i="2"/>
  <c r="H180" i="2" l="1"/>
  <c r="G179" i="2"/>
  <c r="I179" i="2" s="1"/>
  <c r="J178" i="2"/>
  <c r="H181" i="2" l="1"/>
  <c r="G180" i="2"/>
  <c r="I180" i="2" s="1"/>
  <c r="J179" i="2"/>
  <c r="H182" i="2" l="1"/>
  <c r="G181" i="2"/>
  <c r="I181" i="2" s="1"/>
  <c r="J180" i="2"/>
  <c r="H183" i="2" l="1"/>
  <c r="G182" i="2"/>
  <c r="I182" i="2" s="1"/>
  <c r="J181" i="2"/>
  <c r="H184" i="2" l="1"/>
  <c r="G183" i="2"/>
  <c r="I183" i="2" s="1"/>
  <c r="J182" i="2"/>
  <c r="H185" i="2" l="1"/>
  <c r="G184" i="2"/>
  <c r="I184" i="2" s="1"/>
  <c r="J183" i="2"/>
  <c r="H186" i="2" l="1"/>
  <c r="G185" i="2"/>
  <c r="I185" i="2" s="1"/>
  <c r="J184" i="2"/>
  <c r="H187" i="2" l="1"/>
  <c r="G186" i="2"/>
  <c r="I186" i="2" s="1"/>
  <c r="J185" i="2"/>
  <c r="G187" i="2" l="1"/>
  <c r="J186" i="2"/>
  <c r="H188" i="2"/>
  <c r="I187" i="2"/>
  <c r="G188" i="2" l="1"/>
  <c r="J187" i="2"/>
  <c r="H189" i="2"/>
  <c r="I188" i="2"/>
  <c r="H190" i="2" l="1"/>
  <c r="G189" i="2"/>
  <c r="J188" i="2"/>
  <c r="G190" i="2" l="1"/>
  <c r="J189" i="2"/>
  <c r="I189" i="2"/>
  <c r="H191" i="2"/>
  <c r="I190" i="2"/>
  <c r="H192" i="2" l="1"/>
  <c r="G191" i="2"/>
  <c r="I191" i="2" s="1"/>
  <c r="J190" i="2"/>
  <c r="H193" i="2" l="1"/>
  <c r="G192" i="2"/>
  <c r="I192" i="2" s="1"/>
  <c r="J191" i="2"/>
  <c r="H194" i="2" l="1"/>
  <c r="G193" i="2"/>
  <c r="I193" i="2" s="1"/>
  <c r="J192" i="2"/>
  <c r="H195" i="2" l="1"/>
  <c r="G194" i="2"/>
  <c r="I194" i="2" s="1"/>
  <c r="J193" i="2"/>
  <c r="H196" i="2" l="1"/>
  <c r="G195" i="2"/>
  <c r="I195" i="2" s="1"/>
  <c r="J194" i="2"/>
  <c r="G196" i="2" l="1"/>
  <c r="J196" i="2" s="1"/>
  <c r="J195" i="2"/>
  <c r="I196"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B8A22C2F-EFC6-4330-A698-1E6682C08523}">
      <text>
        <r>
          <rPr>
            <sz val="11"/>
            <color rgb="FF000000"/>
            <rFont val="Calibri"/>
            <family val="2"/>
          </rPr>
          <t>Un « traitement de données personnelles » est une opération, ou ensemble d’opérations, portant sur des données personnelles, quel que soit le procédé utilisé (collecte, enregistrement, organisation, conservation, adaptation, modification, extraction, consultation, utilisation, communication par transmission diffusion ou toute autre forme de mise à disposition, rapprochement).</t>
        </r>
      </text>
    </comment>
    <comment ref="J1" authorId="0" shapeId="0" xr:uid="{D6FAC77E-17F9-46F6-A1A5-39BE5593B0AA}">
      <text>
        <r>
          <rPr>
            <sz val="11"/>
            <color rgb="FF000000"/>
            <rFont val="Calibri"/>
            <family val="2"/>
          </rPr>
          <t>Un « traitement de données personnelles » est une opération, ou ensemble d’opérations, portant sur des données personnelles, quel que soit le procédé utilisé (collecte, enregistrement, organisation, conservation, adaptation, modification, extraction, consultation, utilisation, communication par transmission diffusion ou toute autre forme de mise à disposition, rapprochement).</t>
        </r>
      </text>
    </comment>
    <comment ref="F7" authorId="0" shapeId="0" xr:uid="{505777B7-10D1-4FF7-8457-41C990E81A59}">
      <text>
        <r>
          <rPr>
            <sz val="11"/>
            <color rgb="FF000000"/>
            <rFont val="Calibri"/>
            <family val="2"/>
          </rPr>
          <t>Si le responsable du traitement est situé hors UE, il doit indiquer en plus le nom de son représentant sur le territoire de l'UE</t>
        </r>
      </text>
    </comment>
    <comment ref="O7" authorId="0" shapeId="0" xr:uid="{872BBEF4-DCD7-408E-AB52-BC5653DB6E02}">
      <text>
        <r>
          <rPr>
            <sz val="11"/>
            <color rgb="FF000000"/>
            <rFont val="Calibri"/>
            <family val="2"/>
          </rPr>
          <t>Si le responsable du traitement est situé hors UE, il doit indiquer en plus le nom de son représentant sur le territoire de l'UE</t>
        </r>
      </text>
    </comment>
    <comment ref="A8" authorId="0" shapeId="0" xr:uid="{4A248EBE-782A-4614-98CC-78B1B95A7ABB}">
      <text>
        <r>
          <rPr>
            <sz val="11"/>
            <color rgb="FF000000"/>
            <rFont val="Calibri"/>
            <family val="2"/>
          </rPr>
          <t xml:space="preserve">Responsable du traitement : la personne physique ou morale, l'autorité publique, le service ou un autre organisme qui, seul ou conjointement avec d'autres, détermine les finalités et les moyens du traitement.
</t>
        </r>
      </text>
    </comment>
    <comment ref="J8" authorId="0" shapeId="0" xr:uid="{512638CE-8D28-47AD-8209-98520F11DC9B}">
      <text>
        <r>
          <rPr>
            <sz val="11"/>
            <color rgb="FF000000"/>
            <rFont val="Calibri"/>
            <family val="2"/>
          </rPr>
          <t xml:space="preserve">Responsable du traitement : la personne physique ou morale, l'autorité publique, le service ou un autre organisme qui, seul ou conjointement avec d'autres, détermine les finalités et les moyens du traitement.
</t>
        </r>
      </text>
    </comment>
    <comment ref="A11" authorId="0" shapeId="0" xr:uid="{82B3499D-2CC4-407D-B89C-1A752CC568EE}">
      <text>
        <r>
          <rPr>
            <sz val="11"/>
            <color rgb="FF000000"/>
            <rFont val="Calibri"/>
            <family val="2"/>
          </rPr>
          <t xml:space="preserve">Représentant : une personne physique ou morale établie dans l'Union, désignée par le responsable du traitement ou le sous-traitant par écrit qui les représente en ce qui concerne leurs obligations respectives en vertu du présent règlement.
</t>
        </r>
      </text>
    </comment>
    <comment ref="J11" authorId="0" shapeId="0" xr:uid="{3DE0997F-A17E-494F-B66E-0FE6EA354755}">
      <text>
        <r>
          <rPr>
            <sz val="11"/>
            <color rgb="FF000000"/>
            <rFont val="Calibri"/>
            <family val="2"/>
          </rPr>
          <t xml:space="preserve">Représentant : une personne physique ou morale établie dans l'Union, désignée par le responsable du traitement ou le sous-traitant par écrit qui les représente en ce qui concerne leurs obligations respectives en vertu du présent règlement.
</t>
        </r>
      </text>
    </comment>
    <comment ref="A12" authorId="0" shapeId="0" xr:uid="{17A4D26F-76DE-474C-8211-BEBA518356E6}">
      <text>
        <r>
          <rPr>
            <sz val="11"/>
            <color rgb="FF000000"/>
            <rFont val="Calibri"/>
            <family val="2"/>
          </rPr>
          <t xml:space="preserve">A compléter lorsque deux responsables du traitement ou plus déterminent conjointement les finalités et les moyens du traitement
</t>
        </r>
      </text>
    </comment>
    <comment ref="J12" authorId="0" shapeId="0" xr:uid="{E951433E-BBCE-4618-89C6-B630B5D8E2D9}">
      <text>
        <r>
          <rPr>
            <sz val="11"/>
            <color rgb="FF000000"/>
            <rFont val="Calibri"/>
            <family val="2"/>
          </rPr>
          <t xml:space="preserve">A compléter lorsque deux responsables du traitement ou plus déterminent conjointement les finalités et les moyens du traitement
</t>
        </r>
      </text>
    </comment>
    <comment ref="A14" authorId="0" shapeId="0" xr:uid="{E1EFD340-4016-4C71-BD13-8794A3B4D157}">
      <text>
        <r>
          <rPr>
            <sz val="11"/>
            <color rgb="FF000000"/>
            <rFont val="Calibri"/>
            <family val="2"/>
          </rPr>
          <t>Un traitement de données doit avoir un objectif, une finalité, c’est-à-dire que vous ne pouvez pas collecter ou traiter des données personnelles simplement au cas où cela vous serait utile un jour. À chaque traitement de données doit être assigné un but, qui doit bien évidemment être légal et légitime au regard de votre activité professionnelle.
Exemple : Vous collectez sur vos clients de nombreuses informations, lorsque vous effectuez une livraison, éditez une facture ou, proposez une carte de fidélité. Toutes ces opérations sur ces données constituent votre traitement de données personnelles ayant pour objectif la gestion de votre clientèle.</t>
        </r>
      </text>
    </comment>
    <comment ref="J14" authorId="0" shapeId="0" xr:uid="{FB389BDA-699D-42CD-BBBA-AE892FDF2299}">
      <text>
        <r>
          <rPr>
            <sz val="11"/>
            <color rgb="FF000000"/>
            <rFont val="Calibri"/>
            <family val="2"/>
          </rPr>
          <t>Un traitement de données doit avoir un objectif, une finalité, c’est-à-dire que vous ne pouvez pas collecter ou traiter des données personnelles simplement au cas où cela vous serait utile un jour. À chaque traitement de données doit être assigné un but, qui doit bien évidemment être légal et légitime au regard de votre activité professionnelle.
Exemple : Vous collectez sur vos clients de nombreuses informations, lorsque vous effectuez une livraison, éditez une facture ou, proposez une carte de fidélité. Toutes ces opérations sur ces données constituent votre traitement de données personnelles ayant pour objectif la gestion de votre clientèle.</t>
        </r>
      </text>
    </comment>
    <comment ref="E22" authorId="0" shapeId="0" xr:uid="{9EB044ED-E7E4-444D-A1A8-73561A8307A7}">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N22" authorId="0" shapeId="0" xr:uid="{2EBD44F2-A013-4075-A058-0F92603CD308}">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28" authorId="0" shapeId="0" xr:uid="{66BED669-14A4-4D68-895B-B2C9ABCA33D1}">
      <text>
        <r>
          <rPr>
            <sz val="11"/>
            <color rgb="FF000000"/>
            <rFont val="Calibri"/>
            <family val="2"/>
          </rPr>
          <t>Cf. article 87 du règlement qui prévoit des règles nationales spécifiques pour cette donnée.  
Numéro INSEE ou numéro de Sécurité Sociale.</t>
        </r>
      </text>
    </comment>
    <comment ref="J28" authorId="0" shapeId="0" xr:uid="{A22E5720-90DC-42E7-AA7D-EE94B981C2C6}">
      <text>
        <r>
          <rPr>
            <sz val="11"/>
            <color rgb="FF000000"/>
            <rFont val="Calibri"/>
            <family val="2"/>
          </rPr>
          <t>Cf. article 87 du règlement qui prévoit des règles nationales spécifiques pour cette donnée.  
Numéro INSEE ou numéro de Sécurité Sociale.</t>
        </r>
      </text>
    </comment>
    <comment ref="A30" authorId="0" shapeId="0" xr:uid="{DB37C950-F4A9-4AF2-B0C3-DE261B6711E6}">
      <text>
        <r>
          <rPr>
            <sz val="11"/>
            <color rgb="FF000000"/>
            <rFont val="Calibri"/>
            <family val="2"/>
          </rPr>
          <t>Lorsque vous traitez certains types de données à risque :
Sont notamment concernées les données dites "sensibles" :
- révélant l'origine prétendument raciale ou ethnique ;
- portant sur les opinions politiques, philosophiques ou religieuses ;
- relatives à l'appartenance syndicale :
- concernant la santé ou l'orientation sexuelle ;
- génétiques ou biométriques.
Les données d'infraction ou de condamnation pénale font également l'objet de règles particulières. Ces données ne peuvent être utilisées que sous certaines conditions strictement encadrées par la loi Informatique et Libertés et par le RGPD.</t>
        </r>
      </text>
    </comment>
    <comment ref="E30" authorId="0" shapeId="0" xr:uid="{75269A5C-F75A-4722-8DD0-45FA5A911529}">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J30" authorId="0" shapeId="0" xr:uid="{CA379522-D4D4-484A-A53D-0B692857C9CB}">
      <text>
        <r>
          <rPr>
            <sz val="11"/>
            <color rgb="FF000000"/>
            <rFont val="Calibri"/>
            <family val="2"/>
          </rPr>
          <t>Lorsque vous traitez certains types de données à risque :
Sont notamment concernées les données dites "sensibles" :
- révélant l'origine prétendument raciale ou ethnique ;
- portant sur les opinions politiques, philosophiques ou religieuses ;
- relatives à l'appartenance syndicale :
- concernant la santé ou l'orientation sexuelle ;
- génétiques ou biométriques.
Les données d'infraction ou de condamnation pénale font également l'objet de règles particulières. Ces données ne peuvent être utilisées que sous certaines conditions strictement encadrées par la loi Informatique et Libertés et par le RGPD.</t>
        </r>
      </text>
    </comment>
    <comment ref="N30" authorId="0" shapeId="0" xr:uid="{B2712474-C3A6-48D2-8683-83670E0C91B0}">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41" authorId="0" shapeId="0" xr:uid="{F0E57DFB-64D6-4A52-81B3-6DC893E7E52E}">
      <text>
        <r>
          <rPr>
            <sz val="11"/>
            <color rgb="FF000000"/>
            <rFont val="Calibri"/>
            <family val="2"/>
          </rPr>
          <t>Lister tous les types de personnes faisant l'objet du traitement de données.
Exemple : salariés, clients, patients, prospects …</t>
        </r>
      </text>
    </comment>
    <comment ref="J41" authorId="0" shapeId="0" xr:uid="{07FFF0EA-CB59-4298-8791-7DA611809C26}">
      <text>
        <r>
          <rPr>
            <sz val="11"/>
            <color rgb="FF000000"/>
            <rFont val="Calibri"/>
            <family val="2"/>
          </rPr>
          <t>Lister tous les types de personnes faisant l'objet du traitement de données.
Exemple : salariés, clients, patients, prospects …</t>
        </r>
      </text>
    </comment>
    <comment ref="A45" authorId="0" shapeId="0" xr:uid="{1C71ECBC-77D2-4075-B8A7-0ABCFE7BC736}">
      <text>
        <r>
          <rPr>
            <sz val="11"/>
            <color rgb="FF000000"/>
            <rFont val="Calibri"/>
            <family val="2"/>
          </rPr>
          <t xml:space="preserve">Lister l'ensemble des personnes qui ont accès aux données ; par exemple : service chargé du recrutement, service informatique, direction, prestataires, partenaires, hébergeurs, etc.
</t>
        </r>
      </text>
    </comment>
    <comment ref="J45" authorId="0" shapeId="0" xr:uid="{6A6631C2-CD5D-4D04-928B-7CD64E19FF32}">
      <text>
        <r>
          <rPr>
            <sz val="11"/>
            <color rgb="FF000000"/>
            <rFont val="Calibri"/>
            <family val="2"/>
          </rPr>
          <t xml:space="preserve">Lister l'ensemble des personnes qui ont accès aux données ; par exemple : service chargé du recrutement, service informatique, direction, prestataires, partenaires, hébergeurs, etc.
</t>
        </r>
      </text>
    </comment>
    <comment ref="A51" authorId="0" shapeId="0" xr:uid="{0290AB26-7C8E-46BD-8658-DA8FCF07BAFF}">
      <text>
        <r>
          <rPr>
            <sz val="11"/>
            <color rgb="FF000000"/>
            <rFont val="Calibri"/>
            <family val="2"/>
          </rPr>
          <t>Sécurisez vos données :
Garantissez l'intégrité de votre patrimoine de données en minimisant les risques de pertes de données ou de piratage.
Les mesures à prendre, informatiques ou physiques, dépendent de la sensibilité des données que vous traitez et des risques qui pèsent sur les personnes en cas d'incident.
Différentes actions doivent être mises en place : mises à jour de vos antivirus et logiciels, changement régulier des mots de passe et utilisation de mots de passe complexes, ou chiffrement de vos données dans certaines situations. En cas de perte ou de vol d'un outil informatique, il sera plus difficile pour un tiers d'y accéder.</t>
        </r>
      </text>
    </comment>
    <comment ref="J51" authorId="0" shapeId="0" xr:uid="{0AC14231-CB77-49DD-8361-7A65BB20D2DF}">
      <text>
        <r>
          <rPr>
            <sz val="11"/>
            <color rgb="FF000000"/>
            <rFont val="Calibri"/>
            <family val="2"/>
          </rPr>
          <t>Sécurisez vos données :
Garantissez l'intégrité de votre patrimoine de données en minimisant les risques de pertes de données ou de piratage.
Les mesures à prendre, informatiques ou physiques, dépendent de la sensibilité des données que vous traitez et des risques qui pèsent sur les personnes en cas d'incident.
Différentes actions doivent être mises en place : mises à jour de vos antivirus et logiciels, changement régulier des mots de passe et utilisation de mots de passe complexes, ou chiffrement de vos données dans certaines situations. En cas de perte ou de vol d'un outil informatique, il sera plus difficile pour un tiers d'y accéder.</t>
        </r>
      </text>
    </comment>
    <comment ref="A56" authorId="0" shapeId="0" xr:uid="{F8EFEE90-CFEF-4552-8385-05612E9903FD}">
      <text>
        <r>
          <rPr>
            <sz val="11"/>
            <color rgb="FF000000"/>
            <rFont val="Calibri"/>
            <family val="2"/>
          </rPr>
          <t>Lorsque vous transférez des données en dehors de l'Union Européenne :
Vérifiez si le pays hors UE vers lequel vous transférez les données dispose d'une législation de protection des données et si elle est reconnue adéquate par la Commission européenne.
Une carte du monde présentant les législations de protection des données est à votre disposition sur le site de la CNIL.
Sinon, vous devrez encadrer juridiquement vos transferts pour assurer la protection des donnée sà l'étranger.</t>
        </r>
      </text>
    </comment>
    <comment ref="J56" authorId="0" shapeId="0" xr:uid="{D664154C-2A5F-46E9-B3B8-B35ADBC8DE13}">
      <text>
        <r>
          <rPr>
            <sz val="11"/>
            <color rgb="FF000000"/>
            <rFont val="Calibri"/>
            <family val="2"/>
          </rPr>
          <t>Lorsque vous transférez des données en dehors de l'Union Européenne :
Vérifiez si le pays hors UE vers lequel vous transférez les données dispose d'une législation de protection des données et si elle est reconnue adéquate par la Commission européenne.
Une carte du monde présentant les législations de protection des données est à votre disposition sur le site de la CNIL.
Sinon, vous devrez encadrer juridiquement vos transferts pour assurer la protection des donnée sà l'étranger.</t>
        </r>
      </text>
    </comment>
    <comment ref="A63" authorId="0" shapeId="0" xr:uid="{F430307E-CE76-42F4-AD31-D69B7C564A88}">
      <text>
        <r>
          <rPr>
            <sz val="11"/>
            <color rgb="FF000000"/>
            <rFont val="Calibri"/>
            <family val="2"/>
          </rPr>
          <t>Un « traitement de données personnelles » est une opération, ou ensemble d’opérations, portant sur des données personnelles, quel que soit le procédé utilisé (collecte, enregistrement, organisation, conservation, adaptation, modification, extraction, consultation, utilisation, communication par transmission diffusion ou toute autre forme de mise à disposition, rapprochement).</t>
        </r>
      </text>
    </comment>
    <comment ref="F69" authorId="0" shapeId="0" xr:uid="{263E0A01-1682-487B-968E-E0C93E201A5D}">
      <text>
        <r>
          <rPr>
            <sz val="11"/>
            <color rgb="FF000000"/>
            <rFont val="Calibri"/>
            <family val="2"/>
          </rPr>
          <t>Si le responsable du traitement est situé hors UE, il doit indiquer en plus le nom de son représentant sur le territoire de l'UE</t>
        </r>
      </text>
    </comment>
    <comment ref="A70" authorId="0" shapeId="0" xr:uid="{D1BD3A78-FB7E-4153-B8B0-CA666D682FBA}">
      <text>
        <r>
          <rPr>
            <sz val="11"/>
            <color rgb="FF000000"/>
            <rFont val="Calibri"/>
            <family val="2"/>
          </rPr>
          <t xml:space="preserve">Responsable du traitement : la personne physique ou morale, l'autorité publique, le service ou un autre organisme qui, seul ou conjointement avec d'autres, détermine les finalités et les moyens du traitement.
</t>
        </r>
      </text>
    </comment>
    <comment ref="A73" authorId="0" shapeId="0" xr:uid="{3B909C4D-AE60-4C68-B86D-94FF011889E6}">
      <text>
        <r>
          <rPr>
            <sz val="11"/>
            <color rgb="FF000000"/>
            <rFont val="Calibri"/>
            <family val="2"/>
          </rPr>
          <t xml:space="preserve">Représentant : une personne physique ou morale établie dans l'Union, désignée par le responsable du traitement ou le sous-traitant par écrit qui les représente en ce qui concerne leurs obligations respectives en vertu du présent règlement.
</t>
        </r>
      </text>
    </comment>
    <comment ref="A74" authorId="0" shapeId="0" xr:uid="{4C3D5E9D-2C6B-4A1B-97DA-78D93CD93BA2}">
      <text>
        <r>
          <rPr>
            <sz val="11"/>
            <color rgb="FF000000"/>
            <rFont val="Calibri"/>
            <family val="2"/>
          </rPr>
          <t xml:space="preserve">A compléter lorsque deux responsables du traitement ou plus déterminent conjointement les finalités et les moyens du traitement
</t>
        </r>
      </text>
    </comment>
    <comment ref="A76" authorId="0" shapeId="0" xr:uid="{3AD04088-439B-4D86-9298-7F8DC5694DE4}">
      <text>
        <r>
          <rPr>
            <sz val="11"/>
            <color rgb="FF000000"/>
            <rFont val="Calibri"/>
            <family val="2"/>
          </rPr>
          <t>Un traitement de données doit avoir un objectif, une finalité, c’est-à-dire que vous ne pouvez pas collecter ou traiter des données personnelles simplement au cas où cela vous serait utile un jour. À chaque traitement de données doit être assigné un but, qui doit bien évidemment être légal et légitime au regard de votre activité professionnelle.
Exemple : Vous collectez sur vos clients de nombreuses informations, lorsque vous effectuez une livraison, éditez une facture ou, proposez une carte de fidélité. Toutes ces opérations sur ces données constituent votre traitement de données personnelles ayant pour objectif la gestion de votre clientèle.</t>
        </r>
      </text>
    </comment>
    <comment ref="E84" authorId="0" shapeId="0" xr:uid="{2BC7B900-A275-4A7A-802B-7405C86C8209}">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90" authorId="0" shapeId="0" xr:uid="{6202CEFE-F365-41DF-BC67-D0A494A7D887}">
      <text>
        <r>
          <rPr>
            <sz val="11"/>
            <color rgb="FF000000"/>
            <rFont val="Calibri"/>
            <family val="2"/>
          </rPr>
          <t>Cf. article 87 du règlement qui prévoit des règles nationales spécifiques pour cette donnée.  
Numéro INSEE ou numéro de Sécurité Sociale.</t>
        </r>
      </text>
    </comment>
    <comment ref="A92" authorId="0" shapeId="0" xr:uid="{A0845C02-9683-4FCA-83EA-AB367BD33123}">
      <text>
        <r>
          <rPr>
            <sz val="11"/>
            <color rgb="FF000000"/>
            <rFont val="Calibri"/>
            <family val="2"/>
          </rPr>
          <t>Lorsque vous traitez certains types de données à risque :
Sont notamment concernées les données dites "sensibles" :
- révélant l'origine prétendument raciale ou ethnique ;
- portant sur les opinions politiques, philosophiques ou religieuses ;
- relatives à l'appartenance syndicale :
- concernant la santé ou l'orientation sexuelle ;
- génétiques ou biométriques.
Les données d'infraction ou de condamnation pénale font également l'objet de règles particulières. Ces données ne peuvent être utilisées que sous certaines conditions strictement encadrées par la loi Informatique et Libertés et par le RGPD.</t>
        </r>
      </text>
    </comment>
    <comment ref="E92" authorId="0" shapeId="0" xr:uid="{917824E1-C189-4C7C-985E-738B7FBB18F2}">
      <text>
        <r>
          <rPr>
            <sz val="11"/>
            <color rgb="FF000000"/>
            <rFont val="Calibri"/>
            <family val="2"/>
          </rPr>
          <t>Dans certains cas (gestion des paies), certaines données doivent être conservées plus longtemps, selon vos obligations légales ou si les données présentent un intérêt administratif (contentieux).
Consultez la fiche "limiter la conservation de données" sur le site de la CNIL</t>
        </r>
      </text>
    </comment>
    <comment ref="A103" authorId="0" shapeId="0" xr:uid="{53F8B017-E388-4B13-B1FD-5D0B6558B5D7}">
      <text>
        <r>
          <rPr>
            <sz val="11"/>
            <color rgb="FF000000"/>
            <rFont val="Calibri"/>
            <family val="2"/>
          </rPr>
          <t>Lister tous les types de personnes faisant l'objet du traitement de données.
Exemple : salariés, clients, patients, prospects …</t>
        </r>
      </text>
    </comment>
    <comment ref="A107" authorId="0" shapeId="0" xr:uid="{C9D0F6B3-3909-4770-834C-712C259E3B53}">
      <text>
        <r>
          <rPr>
            <sz val="11"/>
            <color rgb="FF000000"/>
            <rFont val="Calibri"/>
            <family val="2"/>
          </rPr>
          <t xml:space="preserve">Lister l'ensemble des personnes qui ont accès aux données ; par exemple : service chargé du recrutement, service informatique, direction, prestataires, partenaires, hébergeurs, etc.
</t>
        </r>
      </text>
    </comment>
    <comment ref="A113" authorId="0" shapeId="0" xr:uid="{12120D5A-286A-4112-9DD3-1617B39050EE}">
      <text>
        <r>
          <rPr>
            <sz val="11"/>
            <color rgb="FF000000"/>
            <rFont val="Calibri"/>
            <family val="2"/>
          </rPr>
          <t>Sécurisez vos données :
Garantissez l'intégrité de votre patrimoine de données en minimisant les risques de pertes de données ou de piratage.
Les mesures à prendre, informatiques ou physiques, dépendent de la sensibilité des données que vous traitez et des risques qui pèsent sur les personnes en cas d'incident.
Différentes actions doivent être mises en place : mises à jour de vos antivirus et logiciels, changement régulier des mots de passe et utilisation de mots de passe complexes, ou chiffrement de vos données dans certaines situations. En cas de perte ou de vol d'un outil informatique, il sera plus difficile pour un tiers d'y accéder.</t>
        </r>
      </text>
    </comment>
    <comment ref="A118" authorId="0" shapeId="0" xr:uid="{F94054C6-3229-4A77-9BA5-6B8741F934BF}">
      <text>
        <r>
          <rPr>
            <sz val="11"/>
            <color rgb="FF000000"/>
            <rFont val="Calibri"/>
            <family val="2"/>
          </rPr>
          <t>Lorsque vous transférez des données en dehors de l'Union Européenne :
Vérifiez si le pays hors UE vers lequel vous transférez les données dispose d'une législation de protection des données et si elle est reconnue adéquate par la Commission européenne.
Une carte du monde présentant les législations de protection des données est à votre disposition sur le site de la CNIL.
Sinon, vous devrez encadrer juridiquement vos transferts pour assurer la protection des donnée sà l'étranger.</t>
        </r>
      </text>
    </comment>
  </commentList>
</comments>
</file>

<file path=xl/sharedStrings.xml><?xml version="1.0" encoding="utf-8"?>
<sst xmlns="http://schemas.openxmlformats.org/spreadsheetml/2006/main" count="1695" uniqueCount="570">
  <si>
    <t>Titre</t>
  </si>
  <si>
    <t>En tant que</t>
  </si>
  <si>
    <t>Je veux...</t>
  </si>
  <si>
    <t>...afin de...</t>
  </si>
  <si>
    <t>Pondération</t>
  </si>
  <si>
    <t>Données nécessaires</t>
  </si>
  <si>
    <t>Connexion via une adresse mail</t>
  </si>
  <si>
    <t xml:space="preserve">Utilisateur de l'application </t>
  </si>
  <si>
    <t>pouvoir me connecter à mon compte sur l'application mobile en utilisant une adresse mail</t>
  </si>
  <si>
    <t xml:space="preserve">- adresse mail utilisateur
- mot de passe </t>
  </si>
  <si>
    <t>Créer un compte</t>
  </si>
  <si>
    <t>pouvoir me créer un compte sur l'application mobile en utilisant une adresse mail et un mot de passe</t>
  </si>
  <si>
    <t>voir les informations me concernant (infos personnelles, photos prises, articles suggérés, ...)</t>
  </si>
  <si>
    <t>prendre des photos</t>
  </si>
  <si>
    <t>stocker mes photos correspondants à mes goûts</t>
  </si>
  <si>
    <t>Passer commande</t>
  </si>
  <si>
    <t>RGPD</t>
  </si>
  <si>
    <t>gérer la désinscription au service de recommandation</t>
  </si>
  <si>
    <t>accéder à la modifications et suppression des données personnelles</t>
  </si>
  <si>
    <t>gérer la durée de conservation de ses données personnelles</t>
  </si>
  <si>
    <t>Délégué à la proctecton des données (DPO)</t>
  </si>
  <si>
    <t>-apparel photo</t>
  </si>
  <si>
    <t>- photos
- annotatons (menton j'ame, ms en favors, commentares)</t>
  </si>
  <si>
    <t>- mage des vêtements</t>
  </si>
  <si>
    <t>- photos de l'utlsateur
- mage des vêtements</t>
  </si>
  <si>
    <t>- adresse mail utilisateur
- mot de passe</t>
  </si>
  <si>
    <t>- Nom et Prénom
- adresse mail utilisateur
- mot de passe
- RB
- condtons de paements s paement en pluseurs fos</t>
  </si>
  <si>
    <t>- adresse mail utilisateur
- mot de passe
- adresse postale
- numéro de téléphone
- condtons lvrasonsdes partenares</t>
  </si>
  <si>
    <t xml:space="preserve">- nom utilisateur
</t>
  </si>
  <si>
    <t>pouvoir définir ses styles préférés parmi ceux proposé par le site</t>
  </si>
  <si>
    <t>pouvoir référencer ses marques préférées parmi celles vendues par le groupe Fashion-Insta</t>
  </si>
  <si>
    <t>pouvoir référencer les blogs, sites, de conseil, d’influenceur(seuses), de tendances</t>
  </si>
  <si>
    <t>pouvoir à partir des préférences de l’utilisateur (styles, marques, blogs, …) proposer des vêtements.</t>
  </si>
  <si>
    <t>MoSCoW Priorité</t>
  </si>
  <si>
    <t>HAUTE</t>
  </si>
  <si>
    <t>TRES HAUTE</t>
  </si>
  <si>
    <t>BASSE</t>
  </si>
  <si>
    <t>MOYEN</t>
  </si>
  <si>
    <t>26-50</t>
  </si>
  <si>
    <t>51-75</t>
  </si>
  <si>
    <t>76-100</t>
  </si>
  <si>
    <t>0-10</t>
  </si>
  <si>
    <t>Back_end_Dev</t>
  </si>
  <si>
    <t>Front_end_Dev</t>
  </si>
  <si>
    <t>DPO</t>
  </si>
  <si>
    <t>TRES BASSE</t>
  </si>
  <si>
    <t>Légende</t>
  </si>
  <si>
    <t>11-25</t>
  </si>
  <si>
    <r>
      <rPr>
        <b/>
        <sz val="10"/>
        <color rgb="FF000000"/>
        <rFont val="Georgia"/>
        <family val="1"/>
      </rPr>
      <t>M</t>
    </r>
    <r>
      <rPr>
        <sz val="10"/>
        <color rgb="FF000000"/>
        <rFont val="Georgia"/>
        <family val="1"/>
      </rPr>
      <t>ust Have</t>
    </r>
  </si>
  <si>
    <r>
      <rPr>
        <b/>
        <sz val="10"/>
        <color rgb="FF000000"/>
        <rFont val="Georgia"/>
        <family val="1"/>
      </rPr>
      <t>S</t>
    </r>
    <r>
      <rPr>
        <sz val="10"/>
        <color rgb="FF000000"/>
        <rFont val="Georgia"/>
        <family val="1"/>
      </rPr>
      <t>hould Have</t>
    </r>
  </si>
  <si>
    <r>
      <rPr>
        <b/>
        <sz val="10"/>
        <color rgb="FF000000"/>
        <rFont val="Georgia"/>
        <family val="1"/>
      </rPr>
      <t>Co</t>
    </r>
    <r>
      <rPr>
        <sz val="10"/>
        <color rgb="FF000000"/>
        <rFont val="Georgia"/>
        <family val="1"/>
      </rPr>
      <t>uld Have</t>
    </r>
  </si>
  <si>
    <r>
      <rPr>
        <b/>
        <sz val="10"/>
        <color rgb="FF000000"/>
        <rFont val="Georgia"/>
        <family val="1"/>
      </rPr>
      <t>W</t>
    </r>
    <r>
      <rPr>
        <sz val="10"/>
        <color rgb="FF000000"/>
        <rFont val="Georgia"/>
        <family val="1"/>
      </rPr>
      <t>ould Have</t>
    </r>
  </si>
  <si>
    <r>
      <rPr>
        <b/>
        <sz val="10"/>
        <color rgb="FF000000"/>
        <rFont val="Georgia"/>
        <family val="1"/>
      </rPr>
      <t>W</t>
    </r>
    <r>
      <rPr>
        <sz val="10"/>
        <color rgb="FF000000"/>
        <rFont val="Georgia"/>
        <family val="1"/>
      </rPr>
      <t>on't Have</t>
    </r>
  </si>
  <si>
    <t>Product_manager</t>
  </si>
  <si>
    <t>réaliser une purge automatique des données
personnelles au bout d’un délai maximum fixé sans activité de l’utilisateur</t>
  </si>
  <si>
    <t>Développeur Front-End</t>
  </si>
  <si>
    <t>Développeur Back-End</t>
  </si>
  <si>
    <t>Data Scientist</t>
  </si>
  <si>
    <t>Product Manager (Scrum master)</t>
  </si>
  <si>
    <t>Coût par Rôle</t>
  </si>
  <si>
    <t>TOTAL</t>
  </si>
  <si>
    <t>Profil Senior 5-10 ans*</t>
  </si>
  <si>
    <t>TOTAL JOURS</t>
  </si>
  <si>
    <t>Azure Synapse Analytics</t>
  </si>
  <si>
    <t>Service category</t>
  </si>
  <si>
    <t>Service type</t>
  </si>
  <si>
    <t>Custom name</t>
  </si>
  <si>
    <t>Region</t>
  </si>
  <si>
    <t>Description</t>
  </si>
  <si>
    <t>Estimated monthly cost</t>
  </si>
  <si>
    <t>Analyse</t>
  </si>
  <si>
    <t>Azure Machine Learning</t>
  </si>
  <si>
    <t/>
  </si>
  <si>
    <t>France Central</t>
  </si>
  <si>
    <t>3 NC4as T4 v3 (4 coeur(s), 28 Go de RAM), 1 year savings plan</t>
  </si>
  <si>
    <t>Power BI Embedded</t>
  </si>
  <si>
    <t>2 nœuds x 730 Heures, type de nœud : A4, 8 cœurs virtuels, 25 Go de RAM, 1201-2400 rendus maximum/heure</t>
  </si>
  <si>
    <t>DevOps</t>
  </si>
  <si>
    <t>Azure Monitor</t>
  </si>
  <si>
    <t>Log analytics : Log Data Ingestion: 0 GB Daily Basic logs, 0 GB Daily Analytics logs ingested, 1 months of Interactive Retention, 0 months of Retention, 0 GB data restored for 0 days, 0 queries per day with 0 GB data scanned per query, 0 GB of Log Data Exported per day, Platform Log Data Processed per day: 0 GB with Destination to Storage or Event Hub and 0 GB with Destination to Marketplace Partners, 0 Search job Queries per day with 0 GB data scanned per query ; 0 points de terminaison SCOM MI ; Prometheus managé : utilisation de la méthode d’estimation de collecte par défaut (avec un cluster de {0} nœuds Linux, {1}nœuds Windows, {2} containers et {3} pods), 10 nombre moyen d’utilisateurs quotidiens de tableaux de bord, 7 tableaux de bord, 50000 échantillons de données interrogés par tableau de bord, 25 règles d’alerte promql, 25 règles d’enregistrement promql ; Application Insights : 0 Go de journaux analytiques quotidiens ingérés, 3 mois de conservation des données, 0 Tests Web Standard, fréquence d’exécution 5 minutes, exécution pendant 730 heures ; 1 ressource surveillée X 1 série chronologique d’indicateur de performance surveillée par ressource, Fréquence du signal de journal 5 minutes avec 1 signal de journal surveillée et 1 séries chronologiques par signal, 0 Événements supplémentaires (en milliers), 0 E-mails supplémentaires (en centaine de milliers), 0 Notifications push supplémentaires (en centaine de milliers), 0 Webhooks supplémentaires (en millions)</t>
  </si>
  <si>
    <t>Calcul</t>
  </si>
  <si>
    <t>Azure Kubernetes Service (AKS)</t>
  </si>
  <si>
    <t>Standard ; Gestion des clusters pour les 2 clusters ; 4 NC4as T4 v3 (4 processeurs virtuels, 28 Go de RAM) (Plan d’économies d’un an), Linux ; 4 disques du système d’exploitation managés – P10</t>
  </si>
  <si>
    <t>Conteneurs</t>
  </si>
  <si>
    <t>Azure Container Registry</t>
  </si>
  <si>
    <t>Standard Niveau, 1 registre x 30 jours, 0 Go Espace de stockage supplémentaire, Génération de conteneur – 1 processeurs x 1 Secondes – Type de transfert inter-région, transfert de données sortantes 5 Go de France Centre vers Europe Nord</t>
  </si>
  <si>
    <t>Bases de données</t>
  </si>
  <si>
    <t>Niveau : Optimisé pour le calcul Gen2, Pools SQL dédiés : DWU 500, Réservation pendant 1 an, 1 To de stockage avec récupération d’urgence géoredondante ; Pools SQL serverless : 1 To de données interrogées ; Pools Apache Spark : Mémoire optimisée : (4 instance(s), Small x 730 Heures) ; France Centre région, 1 To de données collectées par jour, 7 jours de mise en cache à chaud, 30 jours de conservation totale, Compression des données estimée 7 fois, 730 Heures sur 2 x Moyenne (8 vCores) instances de moteur, 730 Heures sur 2 x 4 vCores instances de Gestion des données ; Intégration de données : Pipelines de données hébergés par Azure (10000 exécution(s) d’activité, 32 unités d’intégration de données x 730 Heures, 730 heure(s) d’intégration et 730 heure(s) d’intégration externe d’activité de Pipeline), Pipelines de données autohébergés (1000 exécution(s) d’activité, 730 Heures 730 heure(s) d’intégration et 730 heure(s) d’intégration externe d’activité de Pipeline); Flux de données (8 x 4 vCores De base, 8 x 4 vCores Standard)</t>
  </si>
  <si>
    <t>Support</t>
  </si>
  <si>
    <t>Licensing Program</t>
  </si>
  <si>
    <t>Microsoft Customer Agreement (MCA)</t>
  </si>
  <si>
    <t>Billing Account</t>
  </si>
  <si>
    <t>Billing Profile</t>
  </si>
  <si>
    <t>Total</t>
  </si>
  <si>
    <t>Support inclus</t>
  </si>
  <si>
    <t>par mois</t>
  </si>
  <si>
    <t>Valeur</t>
  </si>
  <si>
    <t>Taux de conversion</t>
  </si>
  <si>
    <t>Nombre de visiteurs T0(lancement)</t>
  </si>
  <si>
    <t>Nombre de clients actifs</t>
  </si>
  <si>
    <t>Panier moyen</t>
  </si>
  <si>
    <t>Commission</t>
  </si>
  <si>
    <t>Année</t>
  </si>
  <si>
    <t>Nbr de visiteurs</t>
  </si>
  <si>
    <t>Publicité</t>
  </si>
  <si>
    <t>pour 1000 vues</t>
  </si>
  <si>
    <t>Gains publicité</t>
  </si>
  <si>
    <t>Nbr de clients actifs</t>
  </si>
  <si>
    <t>Gains par transactions</t>
  </si>
  <si>
    <t>CALCUL DE RENTABILITE (ROI)</t>
  </si>
  <si>
    <t>Variables</t>
  </si>
  <si>
    <t>PROJECTION DU CHIFFRE D'AFFAIRES</t>
  </si>
  <si>
    <t>Gains projetés</t>
  </si>
  <si>
    <t>Coûts main d'œuvre</t>
  </si>
  <si>
    <t>Coût d'infrastructure Azure: Phase Production</t>
  </si>
  <si>
    <t>Coût d'infrastructure Azure: Phase conception et entraînements des modèles</t>
  </si>
  <si>
    <t>Azure Machine Learning Platform</t>
  </si>
  <si>
    <t>3 NC4as T4 v3 (4 coeur(s), 28 Go de RAM) x 730 Heures, Pay as you go</t>
  </si>
  <si>
    <t>1 nœuds x 730 Heures, type de nœud : A2, 2 cœurs virtuels, 5 Go de RAM, 301-600 rendus maximum/heure</t>
  </si>
  <si>
    <t>Standard ; Gestion des clusters pour les 3 clusters ; 3 NC4as T4 v3 (4 processeurs virtuels, 28 Go de RAM) x 730 Heures (À l'utilisation), Linux ; 4 disques du système d’exploitation managés – P4</t>
  </si>
  <si>
    <t>Niveau : Optimisé pour le calcul Gen2, Pools SQL dédiés : DWU 300 x 730 Heures, 1 To de stockage avec récupération d’urgence géoredondante ; Pools SQL serverless : 1 To de données interrogées ; Pools Apache Spark : Mémoire optimisée : (4 instance(s), Small x 730 Heures) ; France Centre région, 1 To de données collectées par jour, 7 jours de mise en cache à chaud, 30 jours de conservation totale, Compression des données estimée 7 fois, 730 Heures sur 2 x Moyenne (8 vCores) instances de moteur, 730 Heures sur 2 x 4 vCores instances de Gestion des données ; Intégration de données : Pipelines de données hébergés par Azure (1000 exécution(s) d’activité, 16 unités d’intégration de données x 730 Heures, 730 heure(s) d’intégration et 730 heure(s) d’intégration externe d’activité de Pipeline), Pipelines de données autohébergés (1000 exécution(s) d’activité, 730 Heures 730 heure(s) d’intégration et 730 heure(s) d’intégration externe d’activité de Pipeline); Flux de données (8 x 4 vCores De base, 8 x 4 vCores Standard)</t>
  </si>
  <si>
    <t>Gains annuel projetés</t>
  </si>
  <si>
    <t>Mois/années</t>
  </si>
  <si>
    <t>Coûts main d'oeuvre</t>
  </si>
  <si>
    <t>Coûts infrastructure (conception et entraînement des modèles)</t>
  </si>
  <si>
    <t>Coûts infrastructure (phase production)</t>
  </si>
  <si>
    <t>Coûts de maintenances (30% de l'infrastructure de prod)</t>
  </si>
  <si>
    <t>Coût journalier</t>
  </si>
  <si>
    <t>Testeur</t>
  </si>
  <si>
    <t>Accéder à un outil de recommandation: avoir des proposition de vêtements</t>
  </si>
  <si>
    <t>Accéder à un outil de recommandation: Prendre et gérer mes photos</t>
  </si>
  <si>
    <t>Accéder à un outil de recommandation: Try-on</t>
  </si>
  <si>
    <t>Accéder à un outil de recommandation: Personnalisation</t>
  </si>
  <si>
    <t>Accéder à un outil de recommandation: Favoris</t>
  </si>
  <si>
    <t>Accéder à un outil de recommandation: Preferences des marques</t>
  </si>
  <si>
    <t>Accéder à un outil de recommandation: influenceurs</t>
  </si>
  <si>
    <t>Accéder à un outil de recommandation: proposition personnalisées</t>
  </si>
  <si>
    <t>Valider une commande</t>
  </si>
  <si>
    <t>Transaction bancaire</t>
  </si>
  <si>
    <t>*TJM (en € sur régon parsenne pour un profl ayant entre 5 et 10 ans d'expérience selon Page personnel)</t>
  </si>
  <si>
    <t>Salaire mensuel + charges</t>
  </si>
  <si>
    <r>
      <rPr>
        <b/>
        <sz val="11"/>
        <rFont val="Segoe UI Light"/>
        <family val="2"/>
      </rPr>
      <t>3 NC4as T4 v3 (4 coeur(s), 28 Go de RAM) x 730 Heures</t>
    </r>
    <r>
      <rPr>
        <sz val="11"/>
        <rFont val="Segoe UI Light"/>
        <family val="2"/>
      </rPr>
      <t>, Pay as you go</t>
    </r>
  </si>
  <si>
    <r>
      <rPr>
        <b/>
        <sz val="11"/>
        <rFont val="Segoe UI Light"/>
        <family val="2"/>
      </rPr>
      <t>1 nœuds x 730 Heures</t>
    </r>
    <r>
      <rPr>
        <sz val="11"/>
        <rFont val="Segoe UI Light"/>
        <family val="2"/>
      </rPr>
      <t>, type de nœud : A2, 2 cœurs virtuels,</t>
    </r>
    <r>
      <rPr>
        <b/>
        <sz val="11"/>
        <rFont val="Segoe UI Light"/>
        <family val="2"/>
      </rPr>
      <t xml:space="preserve"> 5 Go de RAM, 301-600 rendus maximum/heure</t>
    </r>
  </si>
  <si>
    <t>Cumul des coûts</t>
  </si>
  <si>
    <t>Cumul du CA</t>
  </si>
  <si>
    <t>ROI</t>
  </si>
  <si>
    <t>Bénéfices</t>
  </si>
  <si>
    <t>constituer et gérer une collection personnelle de vêtements</t>
  </si>
  <si>
    <t xml:space="preserve">que le vêtement soit afficher sur mes photos </t>
  </si>
  <si>
    <t>juger et décider si le vêtement proposé me convient</t>
  </si>
  <si>
    <t>pouvoir changer la couleur et le style du vêtement recommandé</t>
  </si>
  <si>
    <t>Laisser un avis</t>
  </si>
  <si>
    <t>pouvor laisser un avis sur la pertinence des propositions</t>
  </si>
  <si>
    <t>améliorer la pertinence des recommandatons, avoir des recommandatons plus cohérentes, partager mon expérience et mon avis</t>
  </si>
  <si>
    <t>mettre les produis dans un panier</t>
  </si>
  <si>
    <t>recevoir mon article</t>
  </si>
  <si>
    <t>réaliser une commande</t>
  </si>
  <si>
    <t>Choisir un type de livraison</t>
  </si>
  <si>
    <t>choisir le mode de livraison</t>
  </si>
  <si>
    <t>pouvor réaliser une transaction</t>
  </si>
  <si>
    <t>Data architect</t>
  </si>
  <si>
    <t>Data_scientist</t>
  </si>
  <si>
    <t>ML_engineer</t>
  </si>
  <si>
    <t>Testeur_qualité</t>
  </si>
  <si>
    <t>ML engineer</t>
  </si>
  <si>
    <t>DPO (Délégué à la Proctetion des Données)</t>
  </si>
  <si>
    <t>Total (J)</t>
  </si>
  <si>
    <t>Rôles</t>
  </si>
  <si>
    <t>Profil</t>
  </si>
  <si>
    <t>Il conçoit et développe l’interface utilisateur de l’application Fashion-Insta, en traduisant les maquettes en pages web interactives et responsives. Il assure une navigation fluide pour les fonctionnalités clés : création de compte, gestion de garde-robe, et panier.</t>
  </si>
  <si>
    <t>Il conçoit et met en place la logique serveur de l’application Fashion-Insta, en assurant la gestion des données, des comptes utilisateurs et des transactions. Il développe les API nécessaires aux échanges entre le front-end, les bases de données et les algorithmes de recommandation. Il garantit la sécurité, et la performance des traitements côté serveur. Il traite aussi les bugs.</t>
  </si>
  <si>
    <t>Il conçoit l’architecture des données de l’application Fashion-Insta, en structurant les bases de données pour répondre aux besoins fonctionnels et de performance. Il définit les modèles de données pour les utilisateurs, les vêtements, les recommandations et les préférences. Il veille à la conformité des flux de données avec le RGPD et optimise leur accessibilité pour les développeurs et les algorithmes.</t>
  </si>
  <si>
    <t>Il développe les algorithmes de recommandation de vêtements en exploitant les données issues des photos, des préférences utilisateurs et des tendances. Il entraîne et évalue des modèles d’IA pour les recommandations, personnaliser les suggestions de styles et visualiser les vêtements sur l’utilisateur.</t>
  </si>
  <si>
    <t>Il industrialise et déploie les modèles développés par le data scientist dans l’environnement de production de Fashion-Insta. Il s’assure que les algorithmes de recommandation fonctionnent de façon performante, scalable et sécurisée. Il met en place les pipelines de traitement, le monitoring des modèles et leur mise à jour continue.</t>
  </si>
  <si>
    <t>Il veille à la conformité de l’application Fashion-Insta avec le RGPD, en encadrant la collecte, le traitement et la conservation des données personnelles. Il définit les politiques de gestion des droits utilisateurs (accès, modification, suppression) et supervise la mise en œuvre de la purge automatique. Il travaille en étroite collaboration avec les équipes data pour garantir la protection des données dès la conception.</t>
  </si>
  <si>
    <t>Il pilote le projet Fashion-Insta en assurant la cohérence entre les besoins métiers et les livrables techniques. Il organise les sprints, anime les cérémonies Scrum et veille au respect des délais et priorités. Il facilite la communication entre les équipes (technique, design, data, métier) pour garantir la livraison d’un produit de qualité.</t>
  </si>
  <si>
    <t>Il vérifie que toutes les fonctionnalités de l’application Fashion-Insta répondent aux exigences définies dans le cahier des charges. Il conçoit et exécute des tests fonctionnels, techniques et RGPD pour détecter les anomalies avant la mise en production. Il rédige les rapports de tests et collabore avec les développeurs pour assurer la qualité et la stabilité de l’application.</t>
  </si>
  <si>
    <t>I. Rôles et Responsabilités</t>
  </si>
  <si>
    <t>Chef de Projet:</t>
  </si>
  <si>
    <t>Développeur Front-End:</t>
  </si>
  <si>
    <t>Développeur Back-End:</t>
  </si>
  <si>
    <t>Data Scientist:</t>
  </si>
  <si>
    <t>Facteurs de risque</t>
  </si>
  <si>
    <t>Risque</t>
  </si>
  <si>
    <t>(événement redouté)</t>
  </si>
  <si>
    <t>Conséquences</t>
  </si>
  <si>
    <t>(en coût, délai, qualité, satisfaction client)</t>
  </si>
  <si>
    <t>Impact</t>
  </si>
  <si>
    <t>(0 à3)</t>
  </si>
  <si>
    <t>Probabilité</t>
  </si>
  <si>
    <t>(0 à 3)</t>
  </si>
  <si>
    <t>Criticité</t>
  </si>
  <si>
    <t>(impact*prob)</t>
  </si>
  <si>
    <t>Actions de prévention</t>
  </si>
  <si>
    <t>(pour éviter l'événement redouté)</t>
  </si>
  <si>
    <t>Action de correction</t>
  </si>
  <si>
    <t>(si événement redouté avéré)</t>
  </si>
  <si>
    <t>Etant donné que …</t>
  </si>
  <si>
    <t>Si …</t>
  </si>
  <si>
    <t>Alors …</t>
  </si>
  <si>
    <t>Coordonnées du responsable de l’organisme</t>
  </si>
  <si>
    <t>(responsable de traitement ou son représentant si le responsable est situé en dehors de l’UE)</t>
  </si>
  <si>
    <t>Nom :</t>
  </si>
  <si>
    <t>Prénom :</t>
  </si>
  <si>
    <t>Adresse :</t>
  </si>
  <si>
    <t>Adresse mél :</t>
  </si>
  <si>
    <t>Code postal :</t>
  </si>
  <si>
    <t>Ville :</t>
  </si>
  <si>
    <t>Téléphone :</t>
  </si>
  <si>
    <t>Coordonnées du représentant</t>
  </si>
  <si>
    <t>Coordonnées du délégué à la protection des données (DPO)</t>
  </si>
  <si>
    <t>Société (si DPO externe) :</t>
  </si>
  <si>
    <t>Identification du traitement</t>
  </si>
  <si>
    <t>Finalité du traitement</t>
  </si>
  <si>
    <t>Données sensibles ?</t>
  </si>
  <si>
    <t>Nom du traitement</t>
  </si>
  <si>
    <t>N° / RÉF</t>
  </si>
  <si>
    <t>Date de création de la fiche</t>
  </si>
  <si>
    <t>Dernière mise à jour de la fiche</t>
  </si>
  <si>
    <t>Oui/non</t>
  </si>
  <si>
    <t>Compte utilisateur</t>
  </si>
  <si>
    <t>Permettre aux utilisateurs de créer et de se connecter à un compte utilisateur pour gérer leurs données personnelles, réaliser des commandes, recevoir leurs livraisons.</t>
  </si>
  <si>
    <t>ALICIA</t>
  </si>
  <si>
    <t>MASTERS</t>
  </si>
  <si>
    <t>masters-alicia@fashion-insta.com</t>
  </si>
  <si>
    <t>TOURS</t>
  </si>
  <si>
    <t>139 rue de Charles de Gaulle</t>
  </si>
  <si>
    <t>07XXXXXX</t>
  </si>
  <si>
    <t>COMEX</t>
  </si>
  <si>
    <t>JEAN</t>
  </si>
  <si>
    <t>comex-jean@fashion-insta.com</t>
  </si>
  <si>
    <t>ROMAIN</t>
  </si>
  <si>
    <t>DEPEAU</t>
  </si>
  <si>
    <t>depeau-romain@fashion-insta.com</t>
  </si>
  <si>
    <t>Bénéficier de proposition de vêtement par l'agorithme de l'application</t>
  </si>
  <si>
    <t>Permet à l'utilisateur de choisir le style et la couleur qui lui plaisent</t>
  </si>
  <si>
    <t>Permet à l'utiliateur d'accéder à ses préférences (marques, vêtements, influenceurs)</t>
  </si>
  <si>
    <t>Bénéficier de préférences personnalisées par l'algorithme de l'application.</t>
  </si>
  <si>
    <t>Améliorer le contenu et l'expérience utilisateur de la plateforme.</t>
  </si>
  <si>
    <t>OUI</t>
  </si>
  <si>
    <t>NON</t>
  </si>
  <si>
    <t>Donne à l'utilisateur la possibilité de juger et décider si le vêtement proposé lui convient</t>
  </si>
  <si>
    <t xml:space="preserve">Description  du traitement  </t>
  </si>
  <si>
    <t>Date de création du traitement</t>
  </si>
  <si>
    <t>Mise à jour du traitement</t>
  </si>
  <si>
    <t>Acteurs</t>
  </si>
  <si>
    <t>Nom</t>
  </si>
  <si>
    <t>Adresse</t>
  </si>
  <si>
    <t>Code Postal</t>
  </si>
  <si>
    <t>Ville</t>
  </si>
  <si>
    <t>Pays</t>
  </si>
  <si>
    <t>Téléphone</t>
  </si>
  <si>
    <t>Adresse mél</t>
  </si>
  <si>
    <t>Responsable du traitement</t>
  </si>
  <si>
    <t>Délégué à la protection des données</t>
  </si>
  <si>
    <t>Société du DPO (si celui-ci est externe)</t>
  </si>
  <si>
    <t>Représentant</t>
  </si>
  <si>
    <t>Responsable(s) conjoint(s)</t>
  </si>
  <si>
    <t>Finalité(s) du traitement effectué</t>
  </si>
  <si>
    <t>Finalité principale</t>
  </si>
  <si>
    <t>Sous-finalité 1</t>
  </si>
  <si>
    <t>Sous-finalité 2</t>
  </si>
  <si>
    <t>Sous-finalité 3</t>
  </si>
  <si>
    <t>Sous-finalité 4</t>
  </si>
  <si>
    <t>Sous-finalité 5</t>
  </si>
  <si>
    <t>Catégories de données personnelles concernées</t>
  </si>
  <si>
    <t>Durée de conservation</t>
  </si>
  <si>
    <t>État civil, identité, données d'identification, images…</t>
  </si>
  <si>
    <t>Vie personnelle (habitudes de vie, situation familiale, etc.)</t>
  </si>
  <si>
    <t>Informations d'ordre économique et financier (revenus, situation financière, situation fiscale, etc.)</t>
  </si>
  <si>
    <t>Données de connexion (adress IP, logs, etc.)</t>
  </si>
  <si>
    <t>Données de localisation (déplacements, données GPS, GSM, etc.)</t>
  </si>
  <si>
    <t>Numéro de Sécurité Sociale (ou NIR)</t>
  </si>
  <si>
    <t>Données sensibles</t>
  </si>
  <si>
    <t>Données révélant l'origine raciale ou ethnique</t>
  </si>
  <si>
    <t>Données révélant les opinions politiques</t>
  </si>
  <si>
    <t>Données révélant les convictions religieuses ou philosophiques </t>
  </si>
  <si>
    <t>Données révélant l'appartenance syndicale</t>
  </si>
  <si>
    <t>Données génétiques</t>
  </si>
  <si>
    <t>Données biométriques aux fins d'identifier une personne physique de manière unique</t>
  </si>
  <si>
    <t>Données concernant la santé</t>
  </si>
  <si>
    <t>Données concernant la vie sexuelle ou l'orientation sexuelle</t>
  </si>
  <si>
    <t>Données relatives à des condamnations pénales ou  infractions</t>
  </si>
  <si>
    <t>Catégories de personnes concernées</t>
  </si>
  <si>
    <t>Précisions</t>
  </si>
  <si>
    <t>Catégorie de personnes 1</t>
  </si>
  <si>
    <t>Catégorie de personnes 2</t>
  </si>
  <si>
    <t>Destinataires</t>
  </si>
  <si>
    <t>Type de destinataire</t>
  </si>
  <si>
    <t>Destinataire 1</t>
  </si>
  <si>
    <t>Destinataire 2</t>
  </si>
  <si>
    <t>Destinataire 3</t>
  </si>
  <si>
    <t>Destinataire 4</t>
  </si>
  <si>
    <t>Mesures de sécurité</t>
  </si>
  <si>
    <t>Type de mesure de sécurité</t>
  </si>
  <si>
    <t>Mesure de sécurité 1</t>
  </si>
  <si>
    <t>Mesure de sécurité 2</t>
  </si>
  <si>
    <t>Mesure de sécurité 3</t>
  </si>
  <si>
    <t>Transferts hors UE</t>
  </si>
  <si>
    <t>Destinataire</t>
  </si>
  <si>
    <t>Type de Garanties</t>
  </si>
  <si>
    <t>Liens vers la documentation</t>
  </si>
  <si>
    <t>Organisme destinataire 1</t>
  </si>
  <si>
    <t>Organisme destinataire 2</t>
  </si>
  <si>
    <t>Organisme destinataire 3</t>
  </si>
  <si>
    <t>Organisme destinataire 4</t>
  </si>
  <si>
    <t>COMEX JEAN</t>
  </si>
  <si>
    <t>139 rue Charles de Gaulle</t>
  </si>
  <si>
    <t>37000</t>
  </si>
  <si>
    <t>07XXXXXXXX</t>
  </si>
  <si>
    <t>comex-jean@fashion-intsa.com</t>
  </si>
  <si>
    <t>DEPEAU ROMAIN</t>
  </si>
  <si>
    <t>FRANCE</t>
  </si>
  <si>
    <t>MASTERS ALICIA</t>
  </si>
  <si>
    <t>N/A</t>
  </si>
  <si>
    <t>Permettre à l'utilisateur de créer un compte</t>
  </si>
  <si>
    <t>Permettre à l'utilisateur de se connecter à son compte</t>
  </si>
  <si>
    <t>Permet à l'utilisateur de passer une commande</t>
  </si>
  <si>
    <t>Permet à l'utilisateur de gérer ses préférences en matière de données personnelles</t>
  </si>
  <si>
    <t>Permet à l'utilisateur de réaliser une transaction et de recevoir ses articles</t>
  </si>
  <si>
    <t>Outil de recommandation</t>
  </si>
  <si>
    <t>Try-on</t>
  </si>
  <si>
    <t>1 - A</t>
  </si>
  <si>
    <t>2- A</t>
  </si>
  <si>
    <t>3 - A</t>
  </si>
  <si>
    <t>Noms, prénoms, adresses</t>
  </si>
  <si>
    <t>RIB, Numéro de carte bleue</t>
  </si>
  <si>
    <t>5 ans après chaque validation des conditions d'utilisation</t>
  </si>
  <si>
    <t>Adresse IP, navigateur web, appareil (smartphone ou ordinateur)</t>
  </si>
  <si>
    <t>Utilisateurs</t>
  </si>
  <si>
    <t>Toutes personnes qui ayant accepté les conditions d'utilisations possède un compte utilisateur sur l'application.</t>
  </si>
  <si>
    <t>Service Data</t>
  </si>
  <si>
    <t>Pour alimenter les alogrithme de recommandation.</t>
  </si>
  <si>
    <t>Partenaires commerciaux</t>
  </si>
  <si>
    <t>Sociétés de fabrication de vêtements</t>
  </si>
  <si>
    <t>Patenaires financiers</t>
  </si>
  <si>
    <t>Banque de la société, société de recouvrements, partenaires de financements(Paypal, Klarna…)</t>
  </si>
  <si>
    <t>Contrôle d'accès des utilisateurs</t>
  </si>
  <si>
    <t xml:space="preserve">Sauvegardes sécurisées des données </t>
  </si>
  <si>
    <t>Banque de la société Fashion-insta</t>
  </si>
  <si>
    <t>Suisse</t>
  </si>
  <si>
    <t>Contrat NDA</t>
  </si>
  <si>
    <t>les systèmes informatiques sont vulnérables aux failles de sécurité (intrusions, bugs…)</t>
  </si>
  <si>
    <t>une faille de sécurité est découverte dans l'application</t>
  </si>
  <si>
    <t>cela pourrait permettre à des pirates informatiques d'accéder aux données des utilisateurs ou de prendre le contrôle de l'application.</t>
  </si>
  <si>
    <t>- Effectuer des tests de pénétration pour identifier et corriger les failles de sécurité.
- Mettre à jour régulièrement les logiciels, frameworks, kernel et les systèmes d'exploitation.
- Appliquer le principe du moindre privilège, en donnant aux utilisateurs et aux systèmes uniquement les accès nécessaires.
- Mettre en place un plan de réponse aux incidents pour gérer les failles de sécurité.</t>
  </si>
  <si>
    <t>l'application collecte et traite les données personnelles des utilisateurs (photos, noms, adresse…)</t>
  </si>
  <si>
    <t>ces données ne sont pas sécurisées</t>
  </si>
  <si>
    <t>il pourrait y avoir des vols, des fraudes, des demandes de rançons.</t>
  </si>
  <si>
    <t>le marché de l'e-commerce est en pleine effervescence.</t>
  </si>
  <si>
    <t>si de nouveaux concurrents arrivent sur le marché.</t>
  </si>
  <si>
    <t>notre part de marché pourrait se réduire.</t>
  </si>
  <si>
    <t>- Utiliser le chiffrement, le contrôle d'accès et l'anonymisation.
- Limiter la collecte et le stockage des données personnelles au strict minimum.
- Se conformer aux réglementations applicables en matière de protection des données, telles que le RGPD.</t>
  </si>
  <si>
    <t>- Réaliser régulièrement un Benchmark
- Adapter notre stratégie</t>
  </si>
  <si>
    <t>nos traitements ne sont pas conforme à la RGPD</t>
  </si>
  <si>
    <t>nous pourrions être sanctionner par des amandes et poiursuites judiciaires</t>
  </si>
  <si>
    <t>- Se renseigner sur la RGPD et veiller à être à jour régulièrement.
- Mettre en place des mesures de protection des données pour garantir la collecte, le traitement et le stockage des données des utilisateurs conformément à la loi.
- Obtenir le consentement des utilisateurs pour la collecte et l'utilisation de leurs données personnelles.
- Offrir aux utilisateurs des options pour contrôler et gérer leurs données personnelles.</t>
  </si>
  <si>
    <t>le developpement de se type d'application est complexe et que c'est notre première application.</t>
  </si>
  <si>
    <t>nous manquons de ressources (humaines, financières…)</t>
  </si>
  <si>
    <t>la collaboration et la coordination entre les équipes est primordiale</t>
  </si>
  <si>
    <t>la coordination et la communication sont défaillantes</t>
  </si>
  <si>
    <t>cela pourrait entraîner des retards, des blocages, des dépassements de bugets.</t>
  </si>
  <si>
    <t>cela pourrait entraîner également du retards, des besoins mal compris, du travail en doublons ou du livrable à rattraper.</t>
  </si>
  <si>
    <t>- Établir des canaux de communication clairs et ouverts entre les membres de l'équipe.
- Organiser des réunions régulières pour discuter de l'avancement du projet, des problèmes et des solutions.
- Utiliser des outils de gestion de projet pour faciliter la collaboration et le partage de fichiers.</t>
  </si>
  <si>
    <t>- Faire des points projets réguliers.
- Décomposer le projet en tâches plus petites et gérables.
- Définir des objectifs SMART avec des jalons et des échéances claires.
- Provisionner un bugdet pour imprévus ou retards</t>
  </si>
  <si>
    <t>modules de l'application sont imbriqués.</t>
  </si>
  <si>
    <t>des problèmes de compatibilité ou de communication surviennent.</t>
  </si>
  <si>
    <t>cela pourrait causer des dysfonctionnement.</t>
  </si>
  <si>
    <t>- Mettre à jours les langages de programmation, les librairies
- réaliser des test régulier,
- veiller à la compatibilité entre les technologies</t>
  </si>
  <si>
    <t xml:space="preserve">nous dépendons des infrastructures Big Data de fournisseurs tiers </t>
  </si>
  <si>
    <t>le fournisseurs tiers rencontre des dysfoncionnement</t>
  </si>
  <si>
    <t>cela pourrait rompre le fonctionnement de l'application.</t>
  </si>
  <si>
    <t>notre application utilise une quantité massive de données</t>
  </si>
  <si>
    <t>nous sous estimons le volume de données à traiter.</t>
  </si>
  <si>
    <t>cela pourrait entraîner des ralentissements dans l'application et détèriorer l'expérience utilisateur</t>
  </si>
  <si>
    <t>- Choisir un fournisseur d'API fiable et réputé.
- Négocier un contrat de niveau de service (SLA) avec le fournisseur pour garantir la disponibilité et les performances de l'API.
- Utiliser des back-ups (instantanée)
- Avoir un contrat avec un autre fournisseurs big data pour répartir le risque</t>
  </si>
  <si>
    <t>- Choisir une infrastucture performante et scalable.
-Optimiser les requêtes API pour réduire la charge du serveur.
-Mettre en place des mécanismes de mise en cache pour les données fréquemment consultées.</t>
  </si>
  <si>
    <t>- Activer immédiatement le plan de réponse aux incidents.
- Isoler les systèmes compromis pour limiter la propagation.
- Informer les utilisateurs concernés selon les obligations légales.
- Corriger la faille de sécurité via un correctif (patch).
- Réaliser une analyse post-incident pour éviter la récurrence.</t>
  </si>
  <si>
    <t>- Notifier la CNIL et les utilisateurs concernés dans les délais réglementaires.
- Identifier et corriger la faille ou l'origine de la fuite de données.
- Renforcer les mesures de sécurité (chiffrement, accès…).
- Réaliser un audit de sécurité et adapter les procédures.</t>
  </si>
  <si>
    <t>- Réagir rapidement en ajustant l’offre ou les prix.
- Lancer une campagne marketing ciblée pour fidéliser les clients existants.
- Identifier les leviers de différenciation à mettre en avant.
- Réévaluer la stratégie produit ou service.</t>
  </si>
  <si>
    <t>- Corriger les traitements non conformes (ajout de consentement, suppression des données mal stockées…).
- Coopérer avec les autorités de protection des données (ex. CNIL).
- Mettre en œuvre immédiatement les mesures correctrices recommandées.
- Former les équipes sur la conformité RGPD.</t>
  </si>
  <si>
    <t>- Réévaluer la planification du projet et prioriser les tâches critiques.
- Rechercher des financements ou optimiser les ressources disponibles.
- Recruter ou faire appel à des prestataires externes.
- Revoir les objectifs à court terme pour assurer la livraison minimale viable.</t>
  </si>
  <si>
    <t>- Mettre en place un plan d’urgence de réorganisation du travail.
- Clarifier les rôles et responsabilités immédiatement.
- Réaliser un point collectif pour identifier les blocages et remettre tout le monde sur la même longueur d’onde.
- Affecter un coordinateur de projet si besoin.</t>
  </si>
  <si>
    <t>- Identifier les modules problématiques via des tests de diagnostic.
- Corriger ou isoler les modules défaillants.
- Mettre à jour ou refactoriser les composants incompatibles.
- Mettre en place une meilleure documentation d’intégration.</t>
  </si>
  <si>
    <t>- Basculer sur la solution de secours ou le fournisseur alternatif prévu.
- Contacter immédiatement le fournisseur pour connaître les délais de résolution.
- Informer les utilisateurs des impacts possibles.
- Évaluer la pertinence du fournisseur pour de futurs projets.</t>
  </si>
  <si>
    <t>- Augmenter les capacités de l’infrastructure (scalabilité verticale ou horizontale).
- Optimiser les requêtes et les bases de données.
- Mettre en place une architecture de traitement distribuée si nécessaire (ex: Spark).
- Prioriser les fonctionnalités critiques pour garantir la performance minimale.</t>
  </si>
  <si>
    <t>2 - A</t>
  </si>
  <si>
    <t>Recommander à l'utilisateur des vêtements en fonction de ses préférences</t>
  </si>
  <si>
    <t>Bénéficier de proposition de vêtement par l'algorithme de l'application</t>
  </si>
  <si>
    <t>Bénéficier de préférences personnalisées de contenus, marques ou influenceurs</t>
  </si>
  <si>
    <t>Recevoir des recommandations de blogs, conseils, style</t>
  </si>
  <si>
    <t>Améliorer le contenu et l'expérience utilisateur sur l'application</t>
  </si>
  <si>
    <t>Photos (visage et corps)</t>
  </si>
  <si>
    <t>habitude vestimentaires, mensurations (tour de hanche, tour de bras, tour de poitrine…)</t>
  </si>
  <si>
    <t>Permet aux utilisateurs d'essayer les vêtements virtuellement</t>
  </si>
  <si>
    <t>Permet d'éviter le gaspillage vestimentaire</t>
  </si>
  <si>
    <t>Donne aux utilisateurs la possibilité de choisir son style et sa couleur de vêtement</t>
  </si>
  <si>
    <t>mensurations (tailles,poids, tour de taille, tour de bras, tour de poitrine…)</t>
  </si>
  <si>
    <t>1- A</t>
  </si>
  <si>
    <t>2-A</t>
  </si>
  <si>
    <t>Pour alimenter les algorithmes de recommandation.</t>
  </si>
  <si>
    <t>Mot de passe</t>
  </si>
  <si>
    <t>SPRINTS</t>
  </si>
  <si>
    <t>Description du jalon</t>
  </si>
  <si>
    <t>PRIORITE</t>
  </si>
  <si>
    <t>Attribué à</t>
  </si>
  <si>
    <t>Début</t>
  </si>
  <si>
    <t>Jours</t>
  </si>
  <si>
    <t>1.a. Réunion de lancement projet</t>
  </si>
  <si>
    <t>Product Manager</t>
  </si>
  <si>
    <t>RA</t>
  </si>
  <si>
    <t>C</t>
  </si>
  <si>
    <t>1.b. Etude des besoins</t>
  </si>
  <si>
    <t>I</t>
  </si>
  <si>
    <t>1.c. Rédaction du cahier des charges (backlog)</t>
  </si>
  <si>
    <t>1.d. Clarification des besoins avec les métiers</t>
  </si>
  <si>
    <t>1.e. Présentation note de cadrage, cahier des charges(backlog)</t>
  </si>
  <si>
    <t>Jalon</t>
  </si>
  <si>
    <t>2.a. Définition de l'architecture de l'application</t>
  </si>
  <si>
    <t>R</t>
  </si>
  <si>
    <t>2.b. Choix des technologies</t>
  </si>
  <si>
    <t>2.c. Réalisation du schéma et des maquettes</t>
  </si>
  <si>
    <t>2.d. Revue avec les métiers</t>
  </si>
  <si>
    <t>2.e. Présentation des wireframes, diagrame UML, prototypes figma</t>
  </si>
  <si>
    <t>3.a. Initialisation de l'environnement: CI/CD, Git, JIRA, Notion…</t>
  </si>
  <si>
    <t>Developpeur Back-end</t>
  </si>
  <si>
    <t>3.b. Création de l'authentification par adresse mail (inscription et connexion)</t>
  </si>
  <si>
    <t>A</t>
  </si>
  <si>
    <t>3.b.1. Test du module authentification</t>
  </si>
  <si>
    <t>3.b.2. Revue du rapport de test (replanification)</t>
  </si>
  <si>
    <t>3.c. Module prise de photo et gestion de collections personnelles de vêtements</t>
  </si>
  <si>
    <t>3.c.1. Test du module collection personnelle de vêtements</t>
  </si>
  <si>
    <t>3.c.2 Revue du rapport de test (replanification)</t>
  </si>
  <si>
    <t>3.d. Module d'essayage virtuel (Try-on)</t>
  </si>
  <si>
    <t>Data scientist</t>
  </si>
  <si>
    <t>3.d.1. Test du module essayage virtuel (Try-on)</t>
  </si>
  <si>
    <t>3.d.2. Revue du rapport de test (replanification)</t>
  </si>
  <si>
    <t>3.e. Machine Learning pour la recommandation basé sur les vêtements</t>
  </si>
  <si>
    <t>3.e.1. Test de l'algorithme de recommandation basé sur les vêtements</t>
  </si>
  <si>
    <t>3.e.2. Revue du rapport de test (replanification)</t>
  </si>
  <si>
    <t>3.f. Machine Learning pour la recommandation basé sur les préférences/tendances</t>
  </si>
  <si>
    <t>3.f.1. Test de l'algorithme de recommandation basé sur les préférences</t>
  </si>
  <si>
    <t>3.f.2. Revue du rapport de test (replanification)</t>
  </si>
  <si>
    <t>3.h. Module favoris</t>
  </si>
  <si>
    <t>3.h.1. Test du module favoris</t>
  </si>
  <si>
    <t>3.h.2. Revue du rapport de test (replanification)</t>
  </si>
  <si>
    <t>3.i. Module d'avis et retour utilisateurs</t>
  </si>
  <si>
    <t>3.i.1. Test du module d'avis et retour utilisateurs</t>
  </si>
  <si>
    <t>3.i.2. Revue du rapport de test (replanification)</t>
  </si>
  <si>
    <t>3.j. Module e-commerce (panier, validation de commande, facturation, livraison, réclamation)</t>
  </si>
  <si>
    <t>3.j.1. Test du module e-commerce</t>
  </si>
  <si>
    <t>3.j.2. Revue du rapport de test (replanification)</t>
  </si>
  <si>
    <t>3.k. Module RGPD</t>
  </si>
  <si>
    <t>3.k.1. Test du module RGPD (désinscription)</t>
  </si>
  <si>
    <t>3.l. Présentation du code source, revue des bugs, documentation technique, revue du log, vérification des API REST, revue du dernier rapport de test (RGPD)</t>
  </si>
  <si>
    <t>4.a. Transfert sur serveur AZURE de prod</t>
  </si>
  <si>
    <t>4.b. Test de validation</t>
  </si>
  <si>
    <t>4.b.1. Revue du rapport du test de validation (replanification)</t>
  </si>
  <si>
    <t>4.c. Lancement de l'application</t>
  </si>
  <si>
    <t>03/01/20231</t>
  </si>
  <si>
    <t>5.a. Réunion RETEX projet</t>
  </si>
  <si>
    <t>5.b. Traitement des bugs</t>
  </si>
  <si>
    <t>5.c. Suivi des demandes utilisateurs</t>
  </si>
  <si>
    <t>Fin</t>
  </si>
  <si>
    <t>Story point</t>
  </si>
  <si>
    <t>1. LANCEMENT DE PROJET (SPRINT 1)</t>
  </si>
  <si>
    <t>2. CONCEPTION (SPRINT 2)</t>
  </si>
  <si>
    <t>Définit la vision du produit et établit les priorités des fonctionnalités.</t>
  </si>
  <si>
    <t>Représente les besoins des utilisateurs et des parties prenantes.</t>
  </si>
  <si>
    <t>Collabore avec l'équipe de développement pour assurer la livraison du produit attendu.</t>
  </si>
  <si>
    <t>Conçoit et développe l'interface utilisateur de l'application mobile.</t>
  </si>
  <si>
    <t>Garantit la convivialité et l'ergonomie de l'application.</t>
  </si>
  <si>
    <t>Développe l'architecture logicielle et les API back-end.</t>
  </si>
  <si>
    <t>Intègre les modèles d'apprentissage automatique.</t>
  </si>
  <si>
    <t>Gère les données et la base de données.</t>
  </si>
  <si>
    <t>Conçoit et développe des modèles d'apprentissage automatique pour la recommandation d'articles vestimentaires.</t>
  </si>
  <si>
    <t>Prépare et traite les données d'entraînement.</t>
  </si>
  <si>
    <t>Évalue et optimise les performances des modèles.</t>
  </si>
  <si>
    <t>II. Evénements SCRUM</t>
  </si>
  <si>
    <t>Le Sprint Planning est une réunion de début de sprint où sont définis les objectifs et les user stories. La charge de travail est estimée et les tâches sont réparties au sein de l'équipe.</t>
  </si>
  <si>
    <t>Durée : 1 à 2h</t>
  </si>
  <si>
    <t>Participants : Chef de projet, Dev Front, Dev Back, Data Scientist</t>
  </si>
  <si>
    <t>Le Daily Scrum est une brève réunion quotidienne visant à synchroniser l'équipe, identifier les obstacles et ajuster le plan de travail si nécessaire.</t>
  </si>
  <si>
    <t>Durée : 15 mins</t>
  </si>
  <si>
    <t>Fréquence : Tous les jours ouvrables</t>
  </si>
  <si>
    <t>La Sprint Review consiste à présenter les fonctionnalités achevées aux parties prenantes pour recueillir leurs retours et définir les priorités du sprint suivant.</t>
  </si>
  <si>
    <t>Durée : 1 à 2 heures</t>
  </si>
  <si>
    <t>Participants : Chef de projet, Dev front, Dev Back, Data Scientist et parties prenantes (Alicia la VP Product, équipe produit)</t>
  </si>
  <si>
    <t>La Sprint Retrospective est une réunion de fin de sprint pour analyser les réussites et les échecs, identifier les axes d'amélioration et renforcer la cohésion d'équipe.</t>
  </si>
  <si>
    <t>Participants : Chef de projet, Dev front, Dev Back, Data Scientist</t>
  </si>
  <si>
    <t>III. Points de Suivi et de Pilotage</t>
  </si>
  <si>
    <t>Le Backlog Produit est une liste priorisée des User Stories (US) décrivant les fonctionnalités à développer.</t>
  </si>
  <si>
    <t>Chaque US doit être claire, concise, testable et inclure des critères de validation.</t>
  </si>
  <si>
    <t xml:space="preserve">Priorisation : La méthode MoSCoW (Must Have, Should Have, Could Have, Would Have, Nice to Have) est utilisée pour prioriser les US. </t>
  </si>
  <si>
    <t>Attention aux dépendances entre les tâches !</t>
  </si>
  <si>
    <t>Le Burndown Chart est un graphique qui visualise l'avancement du sprint en fonction du temps restant, basé sur les Story Points. Il permet d'identifier rapidement les problèmes et d'y remédier.</t>
  </si>
  <si>
    <t>Le Tableau de Sprint est un planning détaillé des tâches à accomplir pour chaque sprint.</t>
  </si>
  <si>
    <t xml:space="preserve">Contenu : Le tableau doit inclure : 1. les US à réaliser, 2. les tâches à réaliser, 3. Les participants, </t>
  </si>
  <si>
    <t>4. Une estimation du temps nécessaire par tâche et 5. le statut de chaque tâche.</t>
  </si>
  <si>
    <t>Fréquence : Début de chaque sprint</t>
  </si>
  <si>
    <t>Fréquence : Fin de chaque sprint</t>
  </si>
  <si>
    <t>Outils : Notion, Jira, Github</t>
  </si>
  <si>
    <t>3. DEVELOPPEMENT (SPRINT 3)</t>
  </si>
  <si>
    <t>choisir le style et la couleur qui me plaisent</t>
  </si>
  <si>
    <t>3. DEVELOPPEMENT (SPRINT 4)</t>
  </si>
  <si>
    <t>3. DEVELOPPEMENT (SPRINT 5)</t>
  </si>
  <si>
    <t>3. DEVELOPPEMENT (SPRINT 6)</t>
  </si>
  <si>
    <t>3. DEVELOPPEMENT (SPRINT 7)</t>
  </si>
  <si>
    <t>3. DEVELOPPEMENT (SPRINT 8)</t>
  </si>
  <si>
    <t>3. DEVELOPPEMENT (SPRINT 9)</t>
  </si>
  <si>
    <t>3. DEVELOPPEMENT (SPRINT 10)</t>
  </si>
  <si>
    <t>3. DEVELOPPEMENT (SPRINT 11)</t>
  </si>
  <si>
    <t>3. DEVELOPPEMENT (SPRINT 12)</t>
  </si>
  <si>
    <t>3. DEVELOPPEMENT (SPRINT 13)</t>
  </si>
  <si>
    <t>3. DEVELOPPEMENT (SPRINT 14)</t>
  </si>
  <si>
    <t>3. DEVELOPPEMENT (SPRINT 15)</t>
  </si>
  <si>
    <t>3. DEVELOPPEMENT (SPRINT 16)</t>
  </si>
  <si>
    <t>3. DEVELOPPEMENT (SPRINT 17)</t>
  </si>
  <si>
    <t>3. DEVELOPPEMENT (SPRINT 18)</t>
  </si>
  <si>
    <t>3. DEVELOPPEMENT (SPRINT 19)</t>
  </si>
  <si>
    <t>3. DEVELOPPEMENT (SPRINT 20)</t>
  </si>
  <si>
    <t>3. DEVELOPPEMENT (SPRINT 21)</t>
  </si>
  <si>
    <t>3. DEVELOPPEMENT (SPRINT 22)</t>
  </si>
  <si>
    <t>3. DEVELOPPEMENT (SPRINT 23)</t>
  </si>
  <si>
    <t>3. DEVELOPPEMENT (SPRINT 24)</t>
  </si>
  <si>
    <t>3. DEVELOPPEMENT (SPRINT 25)</t>
  </si>
  <si>
    <t>3. DEVELOPPEMENT (SPRINT 26)</t>
  </si>
  <si>
    <t>3. DEVELOPPEMENT (SPRINT 27)</t>
  </si>
  <si>
    <t>3. DEVELOPPEMENT (SPRINT 28)</t>
  </si>
  <si>
    <t>3. DEVELOPPEMENT (SPRINT 29)</t>
  </si>
  <si>
    <t>3. DEVELOPPEMENT (SPRINT 30)</t>
  </si>
  <si>
    <t>3. DEVELOPPEMENT (SPRINT 31)</t>
  </si>
  <si>
    <t>3. DEVELOPPEMENT (SPRINT 32)</t>
  </si>
  <si>
    <t>3. DEVELOPPEMENT (SPRINT 33)</t>
  </si>
  <si>
    <t>3. DEVELOPPEMENT (SPRINT 34)</t>
  </si>
  <si>
    <t>3. DEVELOPPEMENT (SPRINT 35)</t>
  </si>
  <si>
    <t>3. DEVELOPPEMENT (SPRINT 36)</t>
  </si>
  <si>
    <t>3. DEVELOPPEMENT (SPRINT 37)</t>
  </si>
  <si>
    <t>3. DEVELOPPEMENT (SPRINT 38)</t>
  </si>
  <si>
    <t>3. DEVELOPPEMENT (SPRINT 39)</t>
  </si>
  <si>
    <t>3. DEVELOPPEMENT (SPRINT 40)</t>
  </si>
  <si>
    <t>3. DEVELOPPEMENT (SPRINT 41)</t>
  </si>
  <si>
    <t>3. DEVELOPPEMENT (SPRINT 42)</t>
  </si>
  <si>
    <t>3. DEVELOPPEMENT (SPRINT 43)</t>
  </si>
  <si>
    <t>3. DEVELOPPEMENT (SPRINT 44)</t>
  </si>
  <si>
    <t>4. PRODUCTION (SPRINT 45)</t>
  </si>
  <si>
    <t>5. MAINTENANCE (SPRINT 46)</t>
  </si>
  <si>
    <t>Estimation_Charge(jours ouvrées)</t>
  </si>
  <si>
    <t>bénéficier de propositions de vêtements par l'algorithme de l'application.</t>
  </si>
  <si>
    <t>TEMPS</t>
  </si>
  <si>
    <t>Story Points</t>
  </si>
  <si>
    <t>Reste à faire</t>
  </si>
  <si>
    <t>Journées idéales</t>
  </si>
  <si>
    <t>BURNDOWN CHART</t>
  </si>
  <si>
    <t xml:space="preserve">Ajoutla partie inférence </t>
  </si>
  <si>
    <t>recevoir des recommandations plus pertinentes et adaptées à mes préférences et de constituer une collection d'articles personnalisés.</t>
  </si>
  <si>
    <t>de recevoir des recommandations vestimentaires par marque.</t>
  </si>
  <si>
    <t>de recevoir des recommandations de style vestimentaire par influenceurs.</t>
  </si>
  <si>
    <t>recevoir des recommandations plus pertinentes et adaptées à mes préférences.</t>
  </si>
  <si>
    <t xml:space="preserve"> exercer mes droits sur l’utilisation de mes données personnelles conformément au RGPD.</t>
  </si>
  <si>
    <t>contrôler l’usage de mes données personnelles et garantir le respect de mes droits conformément au RGPD</t>
  </si>
  <si>
    <t>maîtriser la façon dont mes données sont conservées et respecter mon droit à l’oubli conformément au RGPD</t>
  </si>
  <si>
    <t>garantir la conformité de l’application avec les obligations légales de limitation de conservation des données selon le RGPD</t>
  </si>
  <si>
    <t>Type de risque</t>
  </si>
  <si>
    <t>Risque juridique et de conformité</t>
  </si>
  <si>
    <t>Risque concurrentiel</t>
  </si>
  <si>
    <t>Risque organisationnel</t>
  </si>
  <si>
    <t>Risque technique</t>
  </si>
  <si>
    <t>occurrence</t>
  </si>
  <si>
    <t>Criticité moyenne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</si>
</sst>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0\ &quot;€&quot;;[Red]\-#,##0\ &quot;€&quot;"/>
    <numFmt numFmtId="8" formatCode="#,##0.00\ &quot;€&quot;;[Red]\-#,##0.00\ &quot;€&quot;"/>
    <numFmt numFmtId="41" formatCode="_-* #,##0_-;\-* #,##0_-;_-* &quot;-&quot;_-;_-@_-"/>
    <numFmt numFmtId="44" formatCode="_-* #,##0.00\ &quot;€&quot;_-;\-* #,##0.00\ &quot;€&quot;_-;_-* &quot;-&quot;??\ &quot;€&quot;_-;_-@_-"/>
    <numFmt numFmtId="43" formatCode="_-* #,##0.00_-;\-* #,##0.00_-;_-* &quot;-&quot;??_-;_-@_-"/>
    <numFmt numFmtId="164" formatCode="[$€]#,##0.00"/>
    <numFmt numFmtId="165" formatCode="_-* #,##0_-;\-* #,##0_-;_-* &quot;-&quot;??_-;_-@_-"/>
    <numFmt numFmtId="166" formatCode="#&quot; &quot;##&quot; &quot;##&quot; &quot;##&quot; &quot;#0"/>
    <numFmt numFmtId="167" formatCode="#,##0_ ;\-#,##0\ "/>
  </numFmts>
  <fonts count="48" x14ac:knownFonts="1">
    <font>
      <sz val="10"/>
      <color rgb="FF000000"/>
      <name val="Arial"/>
      <scheme val="minor"/>
    </font>
    <font>
      <sz val="11"/>
      <color theme="1"/>
      <name val="Arial"/>
      <family val="2"/>
      <scheme val="minor"/>
    </font>
    <font>
      <b/>
      <sz val="10"/>
      <color rgb="FFFFFFFF"/>
      <name val="Arial"/>
    </font>
    <font>
      <sz val="10"/>
      <color theme="1"/>
      <name val="Arial"/>
      <scheme val="minor"/>
    </font>
    <font>
      <i/>
      <sz val="10"/>
      <color theme="1"/>
      <name val="Arial"/>
      <scheme val="minor"/>
    </font>
    <font>
      <b/>
      <sz val="10"/>
      <color rgb="FFFFFFFF"/>
      <name val="Arial"/>
      <scheme val="minor"/>
    </font>
    <font>
      <sz val="10"/>
      <color rgb="FF000000"/>
      <name val="Arial"/>
      <scheme val="minor"/>
    </font>
    <font>
      <sz val="10"/>
      <color rgb="FFFFFFFF"/>
      <name val="Arial"/>
      <scheme val="minor"/>
    </font>
    <font>
      <sz val="10"/>
      <color rgb="FF000000"/>
      <name val="Georgia"/>
      <family val="1"/>
    </font>
    <font>
      <b/>
      <sz val="10"/>
      <color rgb="FF000000"/>
      <name val="Georgia"/>
      <family val="1"/>
    </font>
    <font>
      <sz val="10"/>
      <color rgb="FFFFFFFF"/>
      <name val="Arial"/>
      <family val="2"/>
      <scheme val="minor"/>
    </font>
    <font>
      <b/>
      <sz val="12"/>
      <color theme="0"/>
      <name val="Georgia"/>
      <family val="1"/>
    </font>
    <font>
      <b/>
      <sz val="18"/>
      <color theme="0"/>
      <name val="Georgia"/>
      <family val="1"/>
    </font>
    <font>
      <sz val="10"/>
      <color rgb="FF2E2E33"/>
      <name val="Segoe UI"/>
      <family val="2"/>
    </font>
    <font>
      <b/>
      <sz val="11"/>
      <name val="Segoe UI Light"/>
    </font>
    <font>
      <sz val="11"/>
      <name val="Segoe UI Light"/>
    </font>
    <font>
      <b/>
      <sz val="10"/>
      <color theme="0"/>
      <name val="Georgia"/>
      <family val="1"/>
    </font>
    <font>
      <b/>
      <sz val="18"/>
      <color rgb="FFFFFFFF"/>
      <name val="Georgia"/>
      <family val="1"/>
    </font>
    <font>
      <i/>
      <sz val="10"/>
      <color rgb="FF000000"/>
      <name val="Arial"/>
      <family val="2"/>
      <scheme val="minor"/>
    </font>
    <font>
      <b/>
      <sz val="12"/>
      <name val="Segoe UI Light"/>
      <family val="2"/>
    </font>
    <font>
      <sz val="11"/>
      <name val="Segoe UI Light"/>
      <family val="2"/>
    </font>
    <font>
      <b/>
      <sz val="11"/>
      <name val="Segoe UI Light"/>
      <family val="2"/>
    </font>
    <font>
      <sz val="10"/>
      <color theme="0"/>
      <name val="Arial"/>
      <family val="2"/>
      <scheme val="minor"/>
    </font>
    <font>
      <b/>
      <sz val="14"/>
      <color theme="0"/>
      <name val="Georgia"/>
      <family val="1"/>
    </font>
    <font>
      <b/>
      <sz val="12"/>
      <color rgb="FF000000"/>
      <name val="Georgia"/>
      <family val="1"/>
    </font>
    <font>
      <sz val="12"/>
      <color theme="1"/>
      <name val="Georgia"/>
      <family val="1"/>
    </font>
    <font>
      <sz val="10"/>
      <color theme="1"/>
      <name val="Georgia"/>
      <family val="1"/>
    </font>
    <font>
      <sz val="12"/>
      <color rgb="FF000000"/>
      <name val="Georgia"/>
      <family val="1"/>
    </font>
    <font>
      <b/>
      <sz val="11"/>
      <color rgb="FFFFFFFF"/>
      <name val="Calibri"/>
      <family val="2"/>
    </font>
    <font>
      <sz val="11"/>
      <name val="Calibri"/>
      <family val="2"/>
    </font>
    <font>
      <b/>
      <sz val="11"/>
      <color rgb="FFFFFFFF"/>
      <name val="Calibri"/>
    </font>
    <font>
      <sz val="10"/>
      <color rgb="FFFFFFFF"/>
      <name val="Calibri"/>
    </font>
    <font>
      <sz val="11"/>
      <color rgb="FFFFFFFF"/>
      <name val="Calibri"/>
    </font>
    <font>
      <sz val="11"/>
      <color rgb="FF000000"/>
      <name val="Calibri"/>
    </font>
    <font>
      <b/>
      <sz val="11"/>
      <color rgb="FFFFFFFF"/>
      <name val="Georgia"/>
      <family val="1"/>
    </font>
    <font>
      <b/>
      <sz val="11"/>
      <color rgb="FF1F4E78"/>
      <name val="Georgia"/>
      <family val="1"/>
    </font>
    <font>
      <u/>
      <sz val="10"/>
      <color theme="10"/>
      <name val="Arial"/>
      <scheme val="minor"/>
    </font>
    <font>
      <sz val="11"/>
      <color rgb="FFFFFFFF"/>
      <name val="Georgia"/>
      <family val="1"/>
    </font>
    <font>
      <sz val="11"/>
      <color rgb="FF000000"/>
      <name val="Georgia"/>
      <family val="1"/>
    </font>
    <font>
      <sz val="11"/>
      <color rgb="FF1F4E78"/>
      <name val="Georgia"/>
      <family val="1"/>
    </font>
    <font>
      <b/>
      <sz val="10"/>
      <color rgb="FFFFFFFF"/>
      <name val="Georgia"/>
      <family val="1"/>
    </font>
    <font>
      <sz val="11"/>
      <color rgb="FF000000"/>
      <name val="Calibri"/>
      <family val="2"/>
    </font>
    <font>
      <sz val="8"/>
      <name val="Arial"/>
      <scheme val="minor"/>
    </font>
    <font>
      <b/>
      <sz val="11"/>
      <color theme="0"/>
      <name val="Arial"/>
      <family val="2"/>
      <scheme val="minor"/>
    </font>
    <font>
      <sz val="11"/>
      <color theme="0"/>
      <name val="Arial"/>
      <family val="2"/>
      <scheme val="minor"/>
    </font>
    <font>
      <sz val="11"/>
      <name val="Arial"/>
      <family val="2"/>
      <scheme val="minor"/>
    </font>
    <font>
      <b/>
      <sz val="12"/>
      <color theme="1"/>
      <name val="Georgia"/>
      <family val="1"/>
    </font>
    <font>
      <sz val="12"/>
      <color theme="0"/>
      <name val="Georgia"/>
      <family val="1"/>
    </font>
  </fonts>
  <fills count="35">
    <fill>
      <patternFill patternType="none"/>
    </fill>
    <fill>
      <patternFill patternType="gray125"/>
    </fill>
    <fill>
      <patternFill patternType="solid">
        <fgColor rgb="FF000000"/>
        <bgColor rgb="FF000000"/>
      </patternFill>
    </fill>
    <fill>
      <patternFill patternType="solid">
        <fgColor rgb="FFFFFFFF"/>
        <bgColor rgb="FFFFFFFF"/>
      </patternFill>
    </fill>
    <fill>
      <patternFill patternType="solid">
        <fgColor rgb="FFE6B8AF"/>
        <bgColor rgb="FFE6B8AF"/>
      </patternFill>
    </fill>
    <fill>
      <patternFill patternType="solid">
        <fgColor rgb="FFCC4125"/>
        <bgColor rgb="FFCC4125"/>
      </patternFill>
    </fill>
    <fill>
      <patternFill patternType="solid">
        <fgColor rgb="FF93C47D"/>
        <bgColor rgb="FF93C47D"/>
      </patternFill>
    </fill>
    <fill>
      <patternFill patternType="solid">
        <fgColor rgb="FFF1C232"/>
        <bgColor rgb="FFF1C232"/>
      </patternFill>
    </fill>
    <fill>
      <patternFill patternType="solid">
        <fgColor rgb="FFFFFFFF"/>
        <bgColor rgb="FF000000"/>
      </patternFill>
    </fill>
    <fill>
      <patternFill patternType="solid">
        <fgColor theme="0"/>
        <bgColor indexed="64"/>
      </patternFill>
    </fill>
    <fill>
      <patternFill patternType="solid">
        <fgColor theme="1"/>
        <bgColor indexed="64"/>
      </patternFill>
    </fill>
    <fill>
      <patternFill patternType="solid">
        <fgColor rgb="FFDDEBF7"/>
      </patternFill>
    </fill>
    <fill>
      <patternFill patternType="darkDown">
        <fgColor rgb="FF000000"/>
        <bgColor rgb="FFFFFFFF"/>
      </patternFill>
    </fill>
    <fill>
      <patternFill patternType="solid">
        <fgColor rgb="FF00B050"/>
        <bgColor indexed="64"/>
      </patternFill>
    </fill>
    <fill>
      <patternFill patternType="solid">
        <fgColor rgb="FF20A472"/>
        <bgColor rgb="FFCC4125"/>
      </patternFill>
    </fill>
    <fill>
      <patternFill patternType="solid">
        <fgColor rgb="FF00B0F0"/>
        <bgColor rgb="FFE6B8AF"/>
      </patternFill>
    </fill>
    <fill>
      <patternFill patternType="solid">
        <fgColor rgb="FF4868E5"/>
        <bgColor rgb="FFF1C232"/>
      </patternFill>
    </fill>
    <fill>
      <patternFill patternType="solid">
        <fgColor rgb="FF852C98"/>
        <bgColor rgb="FF93C47D"/>
      </patternFill>
    </fill>
    <fill>
      <patternFill patternType="solid">
        <fgColor theme="9" tint="-0.249977111117893"/>
        <bgColor indexed="64"/>
      </patternFill>
    </fill>
    <fill>
      <patternFill patternType="solid">
        <fgColor theme="0" tint="-4.9989318521683403E-2"/>
        <bgColor indexed="64"/>
      </patternFill>
    </fill>
    <fill>
      <patternFill patternType="solid">
        <fgColor rgb="FF002060"/>
        <bgColor rgb="FF000000"/>
      </patternFill>
    </fill>
    <fill>
      <patternFill patternType="solid">
        <fgColor rgb="FF0070C0"/>
        <bgColor rgb="FF000000"/>
      </patternFill>
    </fill>
    <fill>
      <patternFill patternType="solid">
        <fgColor rgb="FFDCE6F1"/>
        <bgColor rgb="FF000000"/>
      </patternFill>
    </fill>
    <fill>
      <patternFill patternType="solid">
        <fgColor rgb="FF00B050"/>
        <bgColor rgb="FF000000"/>
      </patternFill>
    </fill>
    <fill>
      <patternFill patternType="solid">
        <fgColor rgb="FF004A99"/>
        <bgColor rgb="FF004A99"/>
      </patternFill>
    </fill>
    <fill>
      <patternFill patternType="solid">
        <fgColor rgb="FF3B96EC"/>
        <bgColor rgb="FF3B96EC"/>
      </patternFill>
    </fill>
    <fill>
      <patternFill patternType="solid">
        <fgColor rgb="FF31859C"/>
        <bgColor rgb="FF31859C"/>
      </patternFill>
    </fill>
    <fill>
      <patternFill patternType="solid">
        <fgColor rgb="FF9BC2E6"/>
        <bgColor rgb="FF9BC2E6"/>
      </patternFill>
    </fill>
    <fill>
      <patternFill patternType="solid">
        <fgColor rgb="FFDDEBF7"/>
        <bgColor rgb="FFDDEBF7"/>
      </patternFill>
    </fill>
    <fill>
      <patternFill patternType="solid">
        <fgColor rgb="FF5B9BD5"/>
        <bgColor rgb="FF5B9BD5"/>
      </patternFill>
    </fill>
    <fill>
      <patternFill patternType="solid">
        <fgColor rgb="FFFF0000"/>
        <bgColor rgb="FF000000"/>
      </patternFill>
    </fill>
    <fill>
      <patternFill patternType="solid">
        <fgColor rgb="FFFFC000"/>
        <bgColor rgb="FF000000"/>
      </patternFill>
    </fill>
    <fill>
      <patternFill patternType="solid">
        <fgColor theme="1" tint="0.249977111117893"/>
        <bgColor indexed="64"/>
      </patternFill>
    </fill>
    <fill>
      <patternFill patternType="solid">
        <fgColor rgb="FF42648A"/>
        <bgColor indexed="64"/>
      </patternFill>
    </fill>
    <fill>
      <patternFill patternType="solid">
        <fgColor theme="5" tint="0.39997558519241921"/>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right/>
      <top style="thin">
        <color rgb="FFFFFFFF"/>
      </top>
      <bottom style="thin">
        <color rgb="FFFFFFFF"/>
      </bottom>
      <diagonal/>
    </border>
    <border>
      <left/>
      <right/>
      <top style="thin">
        <color rgb="FFFFFFFF"/>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top/>
      <bottom style="thin">
        <color rgb="FFFFFFFF"/>
      </bottom>
      <diagonal/>
    </border>
    <border>
      <left/>
      <right style="thin">
        <color rgb="FFFFFFFF"/>
      </right>
      <top/>
      <bottom style="thin">
        <color rgb="FFFFFFFF"/>
      </bottom>
      <diagonal/>
    </border>
    <border>
      <left style="thin">
        <color rgb="FFFFFFFF"/>
      </left>
      <right/>
      <top/>
      <bottom/>
      <diagonal/>
    </border>
    <border>
      <left/>
      <right style="thin">
        <color rgb="FFFFFFFF"/>
      </right>
      <top style="thin">
        <color rgb="FFFFFFFF"/>
      </top>
      <bottom/>
      <diagonal/>
    </border>
    <border>
      <left style="thin">
        <color rgb="FFFFFFFF"/>
      </left>
      <right/>
      <top style="thin">
        <color rgb="FFFFFFFF"/>
      </top>
      <bottom/>
      <diagonal/>
    </border>
    <border>
      <left style="thin">
        <color rgb="FFFFFFFF"/>
      </left>
      <right style="thin">
        <color rgb="FFFFFFFF"/>
      </right>
      <top/>
      <bottom style="thin">
        <color rgb="FFFFFFFF"/>
      </bottom>
      <diagonal/>
    </border>
    <border>
      <left style="thin">
        <color rgb="FFE7E6E6"/>
      </left>
      <right/>
      <top style="thin">
        <color rgb="FFE7E6E6"/>
      </top>
      <bottom/>
      <diagonal/>
    </border>
    <border>
      <left style="thin">
        <color rgb="FFFFFFFF"/>
      </left>
      <right style="thin">
        <color rgb="FFE7E6E6"/>
      </right>
      <top style="thin">
        <color rgb="FFFFFFFF"/>
      </top>
      <bottom style="thin">
        <color rgb="FFFFFFFF"/>
      </bottom>
      <diagonal/>
    </border>
    <border>
      <left/>
      <right style="thin">
        <color rgb="FFE7E6E6"/>
      </right>
      <top style="thin">
        <color rgb="FFFFFFFF"/>
      </top>
      <bottom style="thin">
        <color rgb="FFFFFFFF"/>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bottom/>
      <diagonal/>
    </border>
  </borders>
  <cellStyleXfs count="7">
    <xf numFmtId="0" fontId="0" fillId="0" borderId="0"/>
    <xf numFmtId="44" fontId="6"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36" fillId="0" borderId="0" applyNumberFormat="0" applyFill="0" applyBorder="0" applyAlignment="0" applyProtection="0"/>
    <xf numFmtId="41" fontId="6" fillId="0" borderId="0" applyFont="0" applyFill="0" applyBorder="0" applyAlignment="0" applyProtection="0"/>
    <xf numFmtId="14" fontId="1" fillId="0" borderId="0" applyFont="0" applyFill="0" applyBorder="0">
      <alignment horizontal="center" vertical="center"/>
    </xf>
  </cellStyleXfs>
  <cellXfs count="269">
    <xf numFmtId="0" fontId="0" fillId="0" borderId="0" xfId="0"/>
    <xf numFmtId="0" fontId="5" fillId="3" borderId="0" xfId="0" applyFont="1" applyFill="1"/>
    <xf numFmtId="0" fontId="7" fillId="2" borderId="1" xfId="0" applyFont="1" applyFill="1" applyBorder="1" applyAlignment="1">
      <alignment horizontal="center"/>
    </xf>
    <xf numFmtId="0" fontId="0" fillId="5" borderId="1" xfId="0" applyFill="1" applyBorder="1"/>
    <xf numFmtId="0" fontId="3" fillId="0" borderId="1" xfId="0" applyFont="1" applyBorder="1" applyAlignment="1">
      <alignment wrapText="1"/>
    </xf>
    <xf numFmtId="0" fontId="8" fillId="8" borderId="1" xfId="0" applyFont="1" applyFill="1" applyBorder="1" applyAlignment="1">
      <alignment horizontal="center" vertical="center"/>
    </xf>
    <xf numFmtId="0" fontId="0" fillId="4" borderId="1" xfId="0" applyFill="1" applyBorder="1"/>
    <xf numFmtId="0" fontId="0" fillId="0" borderId="1" xfId="0" applyBorder="1"/>
    <xf numFmtId="0" fontId="0" fillId="7" borderId="1" xfId="0" applyFill="1" applyBorder="1"/>
    <xf numFmtId="0" fontId="0" fillId="6" borderId="1" xfId="0" applyFill="1" applyBorder="1"/>
    <xf numFmtId="0" fontId="3" fillId="0" borderId="1" xfId="0" applyFont="1" applyBorder="1" applyAlignment="1">
      <alignment horizontal="center" vertical="center" wrapText="1"/>
    </xf>
    <xf numFmtId="0" fontId="0" fillId="0" borderId="1" xfId="0" applyBorder="1" applyAlignment="1">
      <alignment horizontal="center" vertical="center"/>
    </xf>
    <xf numFmtId="0" fontId="2" fillId="2" borderId="1" xfId="0" applyFont="1" applyFill="1" applyBorder="1" applyAlignment="1">
      <alignment horizontal="center"/>
    </xf>
    <xf numFmtId="0" fontId="4" fillId="0" borderId="1" xfId="0" applyFont="1" applyBorder="1"/>
    <xf numFmtId="0" fontId="3" fillId="0" borderId="1" xfId="0" quotePrefix="1" applyFont="1" applyBorder="1" applyAlignment="1">
      <alignment wrapText="1"/>
    </xf>
    <xf numFmtId="0" fontId="0" fillId="0" borderId="1" xfId="0" applyBorder="1" applyAlignment="1">
      <alignment wrapText="1"/>
    </xf>
    <xf numFmtId="0" fontId="0" fillId="0" borderId="1" xfId="0" quotePrefix="1" applyBorder="1"/>
    <xf numFmtId="0" fontId="0" fillId="0" borderId="1" xfId="0" quotePrefix="1" applyBorder="1" applyAlignment="1">
      <alignment wrapText="1"/>
    </xf>
    <xf numFmtId="0" fontId="0" fillId="0" borderId="1" xfId="0" quotePrefix="1" applyBorder="1" applyAlignment="1">
      <alignment horizontal="center" vertical="center"/>
    </xf>
    <xf numFmtId="9" fontId="0" fillId="0" borderId="1" xfId="2" applyFont="1" applyBorder="1" applyAlignment="1">
      <alignment horizontal="center" vertical="center"/>
    </xf>
    <xf numFmtId="9" fontId="0" fillId="0" borderId="1" xfId="0" applyNumberFormat="1" applyBorder="1" applyAlignment="1">
      <alignment horizontal="center" vertical="center"/>
    </xf>
    <xf numFmtId="0" fontId="9" fillId="9" borderId="1" xfId="0" applyFont="1" applyFill="1" applyBorder="1" applyAlignment="1">
      <alignment horizontal="center" vertical="center"/>
    </xf>
    <xf numFmtId="0" fontId="8" fillId="9" borderId="1" xfId="0" applyFont="1" applyFill="1" applyBorder="1" applyAlignment="1">
      <alignment horizontal="center" vertical="center" wrapText="1"/>
    </xf>
    <xf numFmtId="6" fontId="8" fillId="9" borderId="1" xfId="0" applyNumberFormat="1" applyFont="1" applyFill="1" applyBorder="1" applyAlignment="1">
      <alignment horizontal="center"/>
    </xf>
    <xf numFmtId="0" fontId="8" fillId="9" borderId="1" xfId="0" applyFont="1" applyFill="1" applyBorder="1" applyAlignment="1">
      <alignment horizontal="center" vertical="center"/>
    </xf>
    <xf numFmtId="44" fontId="8" fillId="9" borderId="1" xfId="1" applyFont="1" applyFill="1" applyBorder="1" applyAlignment="1">
      <alignment horizontal="center" vertical="center"/>
    </xf>
    <xf numFmtId="2" fontId="0" fillId="0" borderId="1" xfId="0" applyNumberFormat="1" applyBorder="1" applyAlignment="1">
      <alignment horizontal="center" vertical="center"/>
    </xf>
    <xf numFmtId="2" fontId="0" fillId="0" borderId="1" xfId="2" applyNumberFormat="1" applyFont="1" applyBorder="1" applyAlignment="1">
      <alignment horizontal="center" vertical="center"/>
    </xf>
    <xf numFmtId="0" fontId="8" fillId="9" borderId="7" xfId="0" applyFont="1" applyFill="1" applyBorder="1" applyAlignment="1">
      <alignment horizontal="center" vertical="center" wrapText="1"/>
    </xf>
    <xf numFmtId="0" fontId="8" fillId="9" borderId="6" xfId="0" applyFont="1" applyFill="1" applyBorder="1" applyAlignment="1">
      <alignment horizontal="center" vertical="center"/>
    </xf>
    <xf numFmtId="0" fontId="13" fillId="0" borderId="0" xfId="0" applyFont="1" applyAlignment="1">
      <alignment vertical="center" wrapText="1"/>
    </xf>
    <xf numFmtId="0" fontId="15" fillId="0" borderId="0" xfId="0" applyFont="1" applyAlignment="1">
      <alignment vertical="top" wrapText="1"/>
    </xf>
    <xf numFmtId="9" fontId="8" fillId="9" borderId="1" xfId="0" applyNumberFormat="1" applyFont="1" applyFill="1" applyBorder="1" applyAlignment="1">
      <alignment horizontal="center" vertical="center"/>
    </xf>
    <xf numFmtId="3" fontId="8" fillId="9" borderId="1" xfId="0" applyNumberFormat="1" applyFont="1" applyFill="1" applyBorder="1" applyAlignment="1">
      <alignment horizontal="center" vertical="center"/>
    </xf>
    <xf numFmtId="165" fontId="8" fillId="9" borderId="1" xfId="3" applyNumberFormat="1" applyFont="1" applyFill="1" applyBorder="1" applyAlignment="1">
      <alignment horizontal="center" vertical="center"/>
    </xf>
    <xf numFmtId="44" fontId="8" fillId="9" borderId="1" xfId="0" applyNumberFormat="1" applyFont="1" applyFill="1" applyBorder="1" applyAlignment="1">
      <alignment horizontal="center" vertical="center"/>
    </xf>
    <xf numFmtId="165" fontId="8" fillId="9" borderId="1" xfId="0" applyNumberFormat="1" applyFont="1" applyFill="1" applyBorder="1" applyAlignment="1">
      <alignment horizontal="center" vertical="center"/>
    </xf>
    <xf numFmtId="44" fontId="16" fillId="10" borderId="1" xfId="0" applyNumberFormat="1" applyFont="1" applyFill="1" applyBorder="1" applyAlignment="1">
      <alignment horizontal="center" vertical="center"/>
    </xf>
    <xf numFmtId="0" fontId="9" fillId="9" borderId="1" xfId="0" applyFont="1" applyFill="1" applyBorder="1" applyAlignment="1">
      <alignment horizontal="center" vertical="center" wrapText="1"/>
    </xf>
    <xf numFmtId="0" fontId="16" fillId="10" borderId="1" xfId="0" applyFont="1" applyFill="1" applyBorder="1" applyAlignment="1">
      <alignment horizontal="center" vertical="center" wrapText="1"/>
    </xf>
    <xf numFmtId="8" fontId="8" fillId="9" borderId="1" xfId="1" applyNumberFormat="1" applyFont="1" applyFill="1" applyBorder="1" applyAlignment="1">
      <alignment horizontal="center" vertical="center"/>
    </xf>
    <xf numFmtId="17" fontId="8" fillId="9" borderId="1" xfId="0" applyNumberFormat="1" applyFont="1" applyFill="1" applyBorder="1" applyAlignment="1">
      <alignment horizontal="center" vertical="center"/>
    </xf>
    <xf numFmtId="0" fontId="18" fillId="0" borderId="0" xfId="0" applyFont="1"/>
    <xf numFmtId="0" fontId="20" fillId="0" borderId="0" xfId="0" applyFont="1" applyAlignment="1">
      <alignment vertical="top" wrapText="1"/>
    </xf>
    <xf numFmtId="164" fontId="20" fillId="0" borderId="0" xfId="0" applyNumberFormat="1" applyFont="1" applyAlignment="1">
      <alignment horizontal="left" vertical="top"/>
    </xf>
    <xf numFmtId="0" fontId="8" fillId="12" borderId="1" xfId="0" applyFont="1" applyFill="1" applyBorder="1" applyAlignment="1">
      <alignment horizontal="center" vertical="center"/>
    </xf>
    <xf numFmtId="8" fontId="8" fillId="8" borderId="1" xfId="0" applyNumberFormat="1" applyFont="1" applyFill="1" applyBorder="1" applyAlignment="1">
      <alignment horizontal="center" vertical="center"/>
    </xf>
    <xf numFmtId="0" fontId="9" fillId="8" borderId="1" xfId="0" applyFont="1" applyFill="1" applyBorder="1" applyAlignment="1">
      <alignment horizontal="center" vertical="center" wrapText="1"/>
    </xf>
    <xf numFmtId="44" fontId="8" fillId="8" borderId="1" xfId="0" applyNumberFormat="1" applyFont="1" applyFill="1" applyBorder="1" applyAlignment="1">
      <alignment horizontal="center" vertical="center"/>
    </xf>
    <xf numFmtId="44" fontId="0" fillId="0" borderId="0" xfId="0" applyNumberFormat="1"/>
    <xf numFmtId="0" fontId="21" fillId="11" borderId="1" xfId="0" applyFont="1" applyFill="1" applyBorder="1" applyAlignment="1">
      <alignment vertical="top" wrapText="1"/>
    </xf>
    <xf numFmtId="164" fontId="21" fillId="11" borderId="1" xfId="0" applyNumberFormat="1" applyFont="1" applyFill="1" applyBorder="1" applyAlignment="1">
      <alignment horizontal="left" vertical="top"/>
    </xf>
    <xf numFmtId="0" fontId="20" fillId="0" borderId="1" xfId="0" applyFont="1" applyBorder="1" applyAlignment="1">
      <alignment vertical="top" wrapText="1"/>
    </xf>
    <xf numFmtId="164" fontId="20" fillId="0" borderId="1" xfId="0" applyNumberFormat="1" applyFont="1" applyBorder="1" applyAlignment="1">
      <alignment horizontal="left" vertical="top"/>
    </xf>
    <xf numFmtId="0" fontId="21" fillId="0" borderId="1" xfId="0" applyFont="1" applyBorder="1" applyAlignment="1">
      <alignment vertical="top" wrapText="1"/>
    </xf>
    <xf numFmtId="0" fontId="20" fillId="0" borderId="8" xfId="0" applyFont="1" applyBorder="1" applyAlignment="1">
      <alignment vertical="top" wrapText="1"/>
    </xf>
    <xf numFmtId="164" fontId="21" fillId="0" borderId="1" xfId="0" applyNumberFormat="1" applyFont="1" applyBorder="1" applyAlignment="1">
      <alignment horizontal="left" vertical="top"/>
    </xf>
    <xf numFmtId="0" fontId="14" fillId="11" borderId="1" xfId="0" applyFont="1" applyFill="1" applyBorder="1" applyAlignment="1">
      <alignment vertical="top" wrapText="1"/>
    </xf>
    <xf numFmtId="164" fontId="14" fillId="11" borderId="1" xfId="0" applyNumberFormat="1" applyFont="1" applyFill="1" applyBorder="1" applyAlignment="1">
      <alignment horizontal="left" vertical="top"/>
    </xf>
    <xf numFmtId="0" fontId="15" fillId="0" borderId="1" xfId="0" applyFont="1" applyBorder="1" applyAlignment="1">
      <alignment vertical="top" wrapText="1"/>
    </xf>
    <xf numFmtId="164" fontId="15" fillId="0" borderId="1" xfId="0" applyNumberFormat="1" applyFont="1" applyBorder="1" applyAlignment="1">
      <alignment horizontal="left" vertical="top"/>
    </xf>
    <xf numFmtId="0" fontId="14" fillId="0" borderId="1" xfId="0" applyFont="1" applyBorder="1" applyAlignment="1">
      <alignment vertical="top" wrapText="1"/>
    </xf>
    <xf numFmtId="164" fontId="14" fillId="0" borderId="1" xfId="0" applyNumberFormat="1" applyFont="1" applyBorder="1" applyAlignment="1">
      <alignment horizontal="left" vertical="top"/>
    </xf>
    <xf numFmtId="44" fontId="0" fillId="0" borderId="1" xfId="1" applyFont="1" applyBorder="1"/>
    <xf numFmtId="0" fontId="11" fillId="10" borderId="1" xfId="0" applyFont="1" applyFill="1" applyBorder="1" applyAlignment="1">
      <alignment horizontal="center" vertical="center"/>
    </xf>
    <xf numFmtId="6" fontId="8" fillId="8" borderId="1" xfId="0" applyNumberFormat="1" applyFont="1" applyFill="1" applyBorder="1" applyAlignment="1">
      <alignment horizontal="center" vertical="center"/>
    </xf>
    <xf numFmtId="0" fontId="9" fillId="8" borderId="5" xfId="0" applyFont="1" applyFill="1" applyBorder="1" applyAlignment="1">
      <alignment horizontal="center" vertical="center" wrapText="1"/>
    </xf>
    <xf numFmtId="44" fontId="0" fillId="0" borderId="1" xfId="0" applyNumberFormat="1" applyBorder="1"/>
    <xf numFmtId="2" fontId="0" fillId="0" borderId="1" xfId="0" applyNumberFormat="1" applyBorder="1"/>
    <xf numFmtId="2" fontId="0" fillId="13" borderId="1" xfId="0" applyNumberFormat="1" applyFill="1" applyBorder="1"/>
    <xf numFmtId="44" fontId="0" fillId="13" borderId="0" xfId="0" applyNumberFormat="1" applyFill="1"/>
    <xf numFmtId="0" fontId="22" fillId="14" borderId="1" xfId="0" applyFont="1" applyFill="1" applyBorder="1" applyAlignment="1">
      <alignment horizontal="center" vertical="center"/>
    </xf>
    <xf numFmtId="0" fontId="22" fillId="15" borderId="1" xfId="0" applyFont="1" applyFill="1" applyBorder="1" applyAlignment="1">
      <alignment horizontal="center" vertical="center"/>
    </xf>
    <xf numFmtId="0" fontId="22" fillId="16" borderId="1" xfId="0" applyFont="1" applyFill="1" applyBorder="1" applyAlignment="1">
      <alignment horizontal="center" vertical="center"/>
    </xf>
    <xf numFmtId="0" fontId="22" fillId="17" borderId="1" xfId="0" applyFont="1" applyFill="1" applyBorder="1" applyAlignment="1">
      <alignment horizontal="center" vertical="center"/>
    </xf>
    <xf numFmtId="0" fontId="22" fillId="18" borderId="1" xfId="0" applyFont="1" applyFill="1" applyBorder="1" applyAlignment="1">
      <alignment horizontal="center" vertical="center"/>
    </xf>
    <xf numFmtId="0" fontId="24" fillId="19" borderId="9" xfId="0" applyFont="1" applyFill="1" applyBorder="1" applyAlignment="1">
      <alignment horizontal="left" vertical="center" indent="1"/>
    </xf>
    <xf numFmtId="0" fontId="25" fillId="19" borderId="10" xfId="0" applyFont="1" applyFill="1" applyBorder="1"/>
    <xf numFmtId="0" fontId="26" fillId="19" borderId="10" xfId="0" applyFont="1" applyFill="1" applyBorder="1"/>
    <xf numFmtId="0" fontId="26" fillId="19" borderId="11" xfId="0" applyFont="1" applyFill="1" applyBorder="1"/>
    <xf numFmtId="0" fontId="27" fillId="19" borderId="12" xfId="0" applyFont="1" applyFill="1" applyBorder="1" applyAlignment="1">
      <alignment horizontal="left" vertical="center" indent="2"/>
    </xf>
    <xf numFmtId="0" fontId="25" fillId="19" borderId="0" xfId="0" applyFont="1" applyFill="1"/>
    <xf numFmtId="0" fontId="26" fillId="19" borderId="0" xfId="0" applyFont="1" applyFill="1"/>
    <xf numFmtId="0" fontId="26" fillId="19" borderId="13" xfId="0" applyFont="1" applyFill="1" applyBorder="1"/>
    <xf numFmtId="0" fontId="24" fillId="19" borderId="12" xfId="0" applyFont="1" applyFill="1" applyBorder="1" applyAlignment="1">
      <alignment horizontal="left" vertical="center" indent="1"/>
    </xf>
    <xf numFmtId="0" fontId="27" fillId="19" borderId="14" xfId="0" applyFont="1" applyFill="1" applyBorder="1" applyAlignment="1">
      <alignment horizontal="left" vertical="center" indent="2"/>
    </xf>
    <xf numFmtId="0" fontId="25" fillId="19" borderId="15" xfId="0" applyFont="1" applyFill="1" applyBorder="1"/>
    <xf numFmtId="0" fontId="26" fillId="19" borderId="15" xfId="0" applyFont="1" applyFill="1" applyBorder="1"/>
    <xf numFmtId="0" fontId="26" fillId="19" borderId="16" xfId="0" applyFont="1" applyFill="1" applyBorder="1"/>
    <xf numFmtId="0" fontId="28" fillId="20" borderId="6" xfId="0" applyFont="1" applyFill="1" applyBorder="1" applyAlignment="1">
      <alignment horizontal="center" vertical="top" wrapText="1"/>
    </xf>
    <xf numFmtId="0" fontId="28" fillId="20" borderId="17" xfId="0" applyFont="1" applyFill="1" applyBorder="1" applyAlignment="1">
      <alignment horizontal="center" vertical="top" wrapText="1"/>
    </xf>
    <xf numFmtId="0" fontId="28" fillId="21" borderId="1" xfId="0" applyFont="1" applyFill="1" applyBorder="1" applyAlignment="1">
      <alignment horizontal="center" vertical="top" wrapText="1"/>
    </xf>
    <xf numFmtId="0" fontId="29" fillId="22" borderId="1" xfId="0" applyFont="1" applyFill="1" applyBorder="1" applyAlignment="1">
      <alignment vertical="top" wrapText="1"/>
    </xf>
    <xf numFmtId="0" fontId="29" fillId="23" borderId="1" xfId="0" applyFont="1" applyFill="1" applyBorder="1" applyAlignment="1">
      <alignment vertical="top" wrapText="1"/>
    </xf>
    <xf numFmtId="0" fontId="30" fillId="24" borderId="1" xfId="0" applyFont="1" applyFill="1" applyBorder="1" applyAlignment="1">
      <alignment horizontal="center" vertical="center" wrapText="1"/>
    </xf>
    <xf numFmtId="0" fontId="32" fillId="25" borderId="1" xfId="0" applyFont="1" applyFill="1" applyBorder="1" applyAlignment="1">
      <alignment horizontal="left" vertical="center" wrapText="1"/>
    </xf>
    <xf numFmtId="0" fontId="33" fillId="0" borderId="1" xfId="0" applyFont="1" applyBorder="1" applyAlignment="1">
      <alignment horizontal="left" vertical="center"/>
    </xf>
    <xf numFmtId="0" fontId="32" fillId="25" borderId="1" xfId="0" applyFont="1" applyFill="1" applyBorder="1" applyAlignment="1">
      <alignment horizontal="left" vertical="center"/>
    </xf>
    <xf numFmtId="0" fontId="31" fillId="24" borderId="1" xfId="0" applyFont="1" applyFill="1" applyBorder="1" applyAlignment="1">
      <alignment horizontal="center" vertical="center" wrapText="1"/>
    </xf>
    <xf numFmtId="0" fontId="32" fillId="0" borderId="1" xfId="0" applyFont="1" applyBorder="1" applyAlignment="1">
      <alignment horizontal="left" vertical="center"/>
    </xf>
    <xf numFmtId="0" fontId="34" fillId="25" borderId="1" xfId="0" applyFont="1" applyFill="1" applyBorder="1" applyAlignment="1">
      <alignment horizontal="center" vertical="center" wrapText="1"/>
    </xf>
    <xf numFmtId="0" fontId="34" fillId="26" borderId="1" xfId="0" applyFont="1" applyFill="1" applyBorder="1" applyAlignment="1">
      <alignment horizontal="center" vertical="center"/>
    </xf>
    <xf numFmtId="14" fontId="34" fillId="26" borderId="1" xfId="0" applyNumberFormat="1" applyFont="1" applyFill="1" applyBorder="1" applyAlignment="1">
      <alignment horizontal="center" vertical="center"/>
    </xf>
    <xf numFmtId="0" fontId="34" fillId="26" borderId="1" xfId="0" applyFont="1" applyFill="1" applyBorder="1" applyAlignment="1">
      <alignment horizontal="center" vertical="center" wrapText="1"/>
    </xf>
    <xf numFmtId="0" fontId="36" fillId="0" borderId="1" xfId="4" applyBorder="1" applyAlignment="1">
      <alignment horizontal="left" vertical="center"/>
    </xf>
    <xf numFmtId="0" fontId="33" fillId="0" borderId="1" xfId="0" applyFont="1" applyBorder="1" applyAlignment="1">
      <alignment horizontal="center" vertical="center"/>
    </xf>
    <xf numFmtId="0" fontId="36" fillId="0" borderId="1" xfId="4" applyBorder="1"/>
    <xf numFmtId="0" fontId="34" fillId="24" borderId="21" xfId="0" applyFont="1" applyFill="1" applyBorder="1" applyAlignment="1">
      <alignment horizontal="right" vertical="center" wrapText="1"/>
    </xf>
    <xf numFmtId="0" fontId="34" fillId="29" borderId="23" xfId="0" applyFont="1" applyFill="1" applyBorder="1" applyAlignment="1">
      <alignment horizontal="right" vertical="center" wrapText="1"/>
    </xf>
    <xf numFmtId="0" fontId="34" fillId="29" borderId="21" xfId="0" applyFont="1" applyFill="1" applyBorder="1" applyAlignment="1">
      <alignment horizontal="right" vertical="center" wrapText="1"/>
    </xf>
    <xf numFmtId="0" fontId="34" fillId="29" borderId="20" xfId="0" applyFont="1" applyFill="1" applyBorder="1" applyAlignment="1">
      <alignment horizontal="right" vertical="center" wrapText="1"/>
    </xf>
    <xf numFmtId="0" fontId="38" fillId="0" borderId="0" xfId="0" applyFont="1" applyAlignment="1">
      <alignment horizontal="right" vertical="center"/>
    </xf>
    <xf numFmtId="0" fontId="38" fillId="0" borderId="0" xfId="0" applyFont="1" applyAlignment="1">
      <alignment vertical="top"/>
    </xf>
    <xf numFmtId="0" fontId="34" fillId="24" borderId="21" xfId="0" applyFont="1" applyFill="1" applyBorder="1" applyAlignment="1">
      <alignment horizontal="center" vertical="center"/>
    </xf>
    <xf numFmtId="0" fontId="34" fillId="29" borderId="18" xfId="0" applyFont="1" applyFill="1" applyBorder="1" applyAlignment="1">
      <alignment horizontal="right" vertical="center" wrapText="1"/>
    </xf>
    <xf numFmtId="0" fontId="34" fillId="3" borderId="0" xfId="0" applyFont="1" applyFill="1" applyAlignment="1">
      <alignment horizontal="right" vertical="center" wrapText="1"/>
    </xf>
    <xf numFmtId="0" fontId="38" fillId="0" borderId="0" xfId="0" applyFont="1" applyAlignment="1">
      <alignment horizontal="right" vertical="center" wrapText="1"/>
    </xf>
    <xf numFmtId="0" fontId="34" fillId="24" borderId="0" xfId="0" applyFont="1" applyFill="1" applyAlignment="1">
      <alignment horizontal="right" vertical="center" wrapText="1"/>
    </xf>
    <xf numFmtId="0" fontId="34" fillId="29" borderId="0" xfId="0" applyFont="1" applyFill="1" applyAlignment="1">
      <alignment horizontal="right" vertical="center" wrapText="1"/>
    </xf>
    <xf numFmtId="0" fontId="38" fillId="0" borderId="19" xfId="0" applyFont="1" applyBorder="1" applyAlignment="1">
      <alignment vertical="top"/>
    </xf>
    <xf numFmtId="0" fontId="34" fillId="0" borderId="0" xfId="0" applyFont="1" applyAlignment="1">
      <alignment horizontal="right" vertical="center" wrapText="1"/>
    </xf>
    <xf numFmtId="0" fontId="34" fillId="24" borderId="29" xfId="0" applyFont="1" applyFill="1" applyBorder="1" applyAlignment="1">
      <alignment horizontal="right" vertical="center"/>
    </xf>
    <xf numFmtId="0" fontId="34" fillId="24" borderId="20" xfId="0" applyFont="1" applyFill="1" applyBorder="1" applyAlignment="1">
      <alignment horizontal="center" vertical="center"/>
    </xf>
    <xf numFmtId="0" fontId="39" fillId="28" borderId="22" xfId="0" applyFont="1" applyFill="1" applyBorder="1" applyAlignment="1">
      <alignment horizontal="left" vertical="top"/>
    </xf>
    <xf numFmtId="0" fontId="39" fillId="28" borderId="20" xfId="0" applyFont="1" applyFill="1" applyBorder="1" applyAlignment="1">
      <alignment horizontal="left" vertical="top"/>
    </xf>
    <xf numFmtId="0" fontId="33" fillId="28" borderId="31" xfId="0" applyFont="1" applyFill="1" applyBorder="1"/>
    <xf numFmtId="49" fontId="37" fillId="24" borderId="18" xfId="0" applyNumberFormat="1" applyFont="1" applyFill="1" applyBorder="1" applyAlignment="1">
      <alignment horizontal="center" vertical="top"/>
    </xf>
    <xf numFmtId="14" fontId="35" fillId="28" borderId="22" xfId="0" applyNumberFormat="1" applyFont="1" applyFill="1" applyBorder="1" applyAlignment="1">
      <alignment horizontal="left" vertical="center"/>
    </xf>
    <xf numFmtId="49" fontId="35" fillId="28" borderId="20" xfId="0" applyNumberFormat="1" applyFont="1" applyFill="1" applyBorder="1" applyAlignment="1">
      <alignment vertical="center"/>
    </xf>
    <xf numFmtId="49" fontId="35" fillId="27" borderId="22" xfId="0" applyNumberFormat="1" applyFont="1" applyFill="1" applyBorder="1" applyAlignment="1">
      <alignment horizontal="left" vertical="center" shrinkToFit="1"/>
    </xf>
    <xf numFmtId="49" fontId="35" fillId="27" borderId="20" xfId="0" applyNumberFormat="1" applyFont="1" applyFill="1" applyBorder="1" applyAlignment="1">
      <alignment horizontal="left" vertical="center"/>
    </xf>
    <xf numFmtId="14" fontId="35" fillId="28" borderId="22" xfId="0" applyNumberFormat="1" applyFont="1" applyFill="1" applyBorder="1" applyAlignment="1">
      <alignment horizontal="left" vertical="center" shrinkToFit="1"/>
    </xf>
    <xf numFmtId="14" fontId="35" fillId="28" borderId="20" xfId="0" applyNumberFormat="1" applyFont="1" applyFill="1" applyBorder="1" applyAlignment="1">
      <alignment horizontal="left" vertical="center"/>
    </xf>
    <xf numFmtId="14" fontId="35" fillId="28" borderId="18" xfId="0" applyNumberFormat="1" applyFont="1" applyFill="1" applyBorder="1" applyAlignment="1">
      <alignment horizontal="left" vertical="center"/>
    </xf>
    <xf numFmtId="49" fontId="35" fillId="27" borderId="24" xfId="0" applyNumberFormat="1" applyFont="1" applyFill="1" applyBorder="1" applyAlignment="1">
      <alignment horizontal="left" vertical="center" shrinkToFit="1"/>
    </xf>
    <xf numFmtId="49" fontId="35" fillId="27" borderId="22" xfId="0" applyNumberFormat="1" applyFont="1" applyFill="1" applyBorder="1" applyAlignment="1">
      <alignment horizontal="left" vertical="center"/>
    </xf>
    <xf numFmtId="49" fontId="38" fillId="3" borderId="0" xfId="0" applyNumberFormat="1" applyFont="1" applyFill="1" applyAlignment="1">
      <alignment vertical="top"/>
    </xf>
    <xf numFmtId="49" fontId="38" fillId="24" borderId="18" xfId="0" applyNumberFormat="1" applyFont="1" applyFill="1" applyBorder="1" applyAlignment="1">
      <alignment vertical="top"/>
    </xf>
    <xf numFmtId="49" fontId="39" fillId="0" borderId="21" xfId="0" applyNumberFormat="1" applyFont="1" applyBorder="1" applyAlignment="1">
      <alignment horizontal="left" vertical="top" wrapText="1"/>
    </xf>
    <xf numFmtId="49" fontId="39" fillId="0" borderId="18" xfId="0" applyNumberFormat="1" applyFont="1" applyBorder="1" applyAlignment="1">
      <alignment horizontal="left" vertical="top" wrapText="1"/>
    </xf>
    <xf numFmtId="49" fontId="38" fillId="0" borderId="18" xfId="0" applyNumberFormat="1" applyFont="1" applyBorder="1" applyAlignment="1">
      <alignment horizontal="center" vertical="top"/>
    </xf>
    <xf numFmtId="49" fontId="39" fillId="27" borderId="22" xfId="0" applyNumberFormat="1" applyFont="1" applyFill="1" applyBorder="1" applyAlignment="1">
      <alignment horizontal="left" vertical="top"/>
    </xf>
    <xf numFmtId="49" fontId="35" fillId="27" borderId="20" xfId="0" applyNumberFormat="1" applyFont="1" applyFill="1" applyBorder="1" applyAlignment="1">
      <alignment horizontal="left" vertical="top" wrapText="1"/>
    </xf>
    <xf numFmtId="49" fontId="39" fillId="28" borderId="22" xfId="0" applyNumberFormat="1" applyFont="1" applyFill="1" applyBorder="1" applyAlignment="1">
      <alignment horizontal="left" vertical="top"/>
    </xf>
    <xf numFmtId="49" fontId="39" fillId="28" borderId="20" xfId="0" applyNumberFormat="1" applyFont="1" applyFill="1" applyBorder="1" applyAlignment="1">
      <alignment horizontal="left" vertical="top"/>
    </xf>
    <xf numFmtId="49" fontId="39" fillId="27" borderId="20" xfId="0" applyNumberFormat="1" applyFont="1" applyFill="1" applyBorder="1" applyAlignment="1">
      <alignment horizontal="left" vertical="top"/>
    </xf>
    <xf numFmtId="0" fontId="0" fillId="28" borderId="31" xfId="0" applyFill="1" applyBorder="1"/>
    <xf numFmtId="49" fontId="36" fillId="28" borderId="18" xfId="4" applyNumberFormat="1" applyFill="1" applyBorder="1" applyAlignment="1">
      <alignment vertical="center"/>
    </xf>
    <xf numFmtId="166" fontId="36" fillId="27" borderId="18" xfId="4" applyNumberFormat="1" applyFill="1" applyBorder="1" applyAlignment="1">
      <alignment horizontal="left" vertical="center"/>
    </xf>
    <xf numFmtId="49" fontId="36" fillId="27" borderId="18" xfId="4" applyNumberFormat="1" applyFill="1" applyBorder="1" applyAlignment="1">
      <alignment horizontal="left" vertical="center"/>
    </xf>
    <xf numFmtId="0" fontId="29" fillId="22" borderId="1" xfId="0" quotePrefix="1" applyFont="1" applyFill="1" applyBorder="1" applyAlignment="1">
      <alignment vertical="top" wrapText="1"/>
    </xf>
    <xf numFmtId="0" fontId="29" fillId="30" borderId="1" xfId="0" applyFont="1" applyFill="1" applyBorder="1" applyAlignment="1">
      <alignment vertical="top" wrapText="1"/>
    </xf>
    <xf numFmtId="0" fontId="29" fillId="31" borderId="1" xfId="0" applyFont="1" applyFill="1" applyBorder="1" applyAlignment="1">
      <alignment vertical="top" wrapText="1"/>
    </xf>
    <xf numFmtId="0" fontId="43" fillId="32" borderId="1" xfId="0" applyFont="1" applyFill="1" applyBorder="1" applyAlignment="1">
      <alignment horizontal="center" vertical="center" wrapText="1"/>
    </xf>
    <xf numFmtId="14" fontId="45" fillId="0" borderId="1" xfId="6" applyFont="1" applyBorder="1">
      <alignment horizontal="center" vertical="center"/>
    </xf>
    <xf numFmtId="167" fontId="45" fillId="0" borderId="1" xfId="5" applyNumberFormat="1" applyFont="1" applyBorder="1" applyAlignment="1">
      <alignment horizontal="center" vertical="center"/>
    </xf>
    <xf numFmtId="0" fontId="43" fillId="33" borderId="1" xfId="0" applyFont="1" applyFill="1" applyBorder="1" applyAlignment="1">
      <alignment horizontal="left" vertical="center" indent="1"/>
    </xf>
    <xf numFmtId="0" fontId="45" fillId="33" borderId="1" xfId="0" applyFont="1" applyFill="1" applyBorder="1" applyAlignment="1">
      <alignment horizontal="center" vertical="center"/>
    </xf>
    <xf numFmtId="167" fontId="45" fillId="33" borderId="1" xfId="5" applyNumberFormat="1" applyFont="1" applyFill="1" applyBorder="1" applyAlignment="1">
      <alignment horizontal="center" vertical="center"/>
    </xf>
    <xf numFmtId="0" fontId="45" fillId="0" borderId="1" xfId="0" applyFont="1" applyBorder="1" applyAlignment="1">
      <alignment horizontal="left" vertical="center" wrapText="1" indent="2"/>
    </xf>
    <xf numFmtId="0" fontId="45" fillId="0" borderId="1" xfId="0" applyFont="1" applyBorder="1" applyAlignment="1">
      <alignment horizontal="center" vertical="center"/>
    </xf>
    <xf numFmtId="0" fontId="45" fillId="19" borderId="1" xfId="0" applyFont="1" applyFill="1" applyBorder="1" applyAlignment="1">
      <alignment horizontal="left" vertical="center" wrapText="1" indent="2"/>
    </xf>
    <xf numFmtId="0" fontId="45" fillId="19" borderId="1" xfId="0" applyFont="1" applyFill="1" applyBorder="1" applyAlignment="1">
      <alignment horizontal="center" vertical="center"/>
    </xf>
    <xf numFmtId="14" fontId="45" fillId="19" borderId="1" xfId="6" applyFont="1" applyFill="1" applyBorder="1">
      <alignment horizontal="center" vertical="center"/>
    </xf>
    <xf numFmtId="167" fontId="45" fillId="19" borderId="1" xfId="5" applyNumberFormat="1" applyFont="1" applyFill="1" applyBorder="1" applyAlignment="1">
      <alignment horizontal="center" vertical="center"/>
    </xf>
    <xf numFmtId="0" fontId="44" fillId="33" borderId="1" xfId="0" applyFont="1" applyFill="1" applyBorder="1" applyAlignment="1">
      <alignment horizontal="center" vertical="center"/>
    </xf>
    <xf numFmtId="14" fontId="44" fillId="33" borderId="1" xfId="6" applyFont="1" applyFill="1" applyBorder="1">
      <alignment horizontal="center" vertical="center"/>
    </xf>
    <xf numFmtId="167" fontId="44" fillId="33" borderId="1" xfId="5" applyNumberFormat="1" applyFont="1" applyFill="1" applyBorder="1" applyAlignment="1">
      <alignment horizontal="center" vertical="center"/>
    </xf>
    <xf numFmtId="0" fontId="9" fillId="19" borderId="0" xfId="0" applyFont="1" applyFill="1" applyAlignment="1">
      <alignment horizontal="left" vertical="center" indent="1"/>
    </xf>
    <xf numFmtId="0" fontId="25" fillId="19" borderId="13" xfId="0" applyFont="1" applyFill="1" applyBorder="1"/>
    <xf numFmtId="0" fontId="24" fillId="19" borderId="14" xfId="0" applyFont="1" applyFill="1" applyBorder="1" applyAlignment="1">
      <alignment horizontal="left" vertical="center" indent="1"/>
    </xf>
    <xf numFmtId="0" fontId="25" fillId="19" borderId="16" xfId="0" applyFont="1" applyFill="1" applyBorder="1"/>
    <xf numFmtId="0" fontId="46" fillId="19" borderId="0" xfId="0" applyFont="1" applyFill="1"/>
    <xf numFmtId="0" fontId="24" fillId="19" borderId="12" xfId="0" applyFont="1" applyFill="1" applyBorder="1" applyAlignment="1">
      <alignment vertical="center"/>
    </xf>
    <xf numFmtId="0" fontId="27" fillId="19" borderId="0" xfId="0" applyFont="1" applyFill="1" applyAlignment="1">
      <alignment vertical="center"/>
    </xf>
    <xf numFmtId="0" fontId="24" fillId="19" borderId="0" xfId="0" applyFont="1" applyFill="1" applyAlignment="1">
      <alignment vertical="center"/>
    </xf>
    <xf numFmtId="0" fontId="24" fillId="19" borderId="13" xfId="0" applyFont="1" applyFill="1" applyBorder="1" applyAlignment="1">
      <alignment vertical="center"/>
    </xf>
    <xf numFmtId="0" fontId="25" fillId="19" borderId="12" xfId="0" applyFont="1" applyFill="1" applyBorder="1"/>
    <xf numFmtId="0" fontId="25" fillId="19" borderId="14" xfId="0" applyFont="1" applyFill="1" applyBorder="1"/>
    <xf numFmtId="14" fontId="45" fillId="0" borderId="1" xfId="5" applyNumberFormat="1" applyFont="1" applyBorder="1" applyAlignment="1">
      <alignment horizontal="center" vertical="center"/>
    </xf>
    <xf numFmtId="14" fontId="45" fillId="19" borderId="1" xfId="5" applyNumberFormat="1" applyFont="1" applyFill="1" applyBorder="1" applyAlignment="1">
      <alignment horizontal="center" vertical="center"/>
    </xf>
    <xf numFmtId="14" fontId="44" fillId="33" borderId="1" xfId="5" applyNumberFormat="1" applyFont="1" applyFill="1" applyBorder="1" applyAlignment="1">
      <alignment horizontal="center" vertical="center"/>
    </xf>
    <xf numFmtId="44" fontId="0" fillId="34" borderId="0" xfId="0" applyNumberFormat="1" applyFill="1"/>
    <xf numFmtId="0" fontId="43" fillId="32" borderId="1" xfId="0" applyFont="1" applyFill="1" applyBorder="1" applyAlignment="1">
      <alignment horizontal="center" vertical="center"/>
    </xf>
    <xf numFmtId="14" fontId="45" fillId="0" borderId="1" xfId="6" applyFont="1" applyFill="1" applyBorder="1">
      <alignment horizontal="center" vertical="center"/>
    </xf>
    <xf numFmtId="167" fontId="45" fillId="0" borderId="1" xfId="5" applyNumberFormat="1" applyFont="1" applyFill="1" applyBorder="1" applyAlignment="1">
      <alignment horizontal="center" vertical="center"/>
    </xf>
    <xf numFmtId="14" fontId="45" fillId="0" borderId="1" xfId="5" applyNumberFormat="1" applyFont="1" applyFill="1" applyBorder="1" applyAlignment="1">
      <alignment horizontal="center" vertical="center"/>
    </xf>
    <xf numFmtId="0" fontId="24" fillId="9" borderId="35" xfId="0" applyFont="1" applyFill="1" applyBorder="1" applyAlignment="1">
      <alignment horizontal="center" vertical="center"/>
    </xf>
    <xf numFmtId="0" fontId="24" fillId="9" borderId="36" xfId="0" applyFont="1" applyFill="1" applyBorder="1" applyAlignment="1">
      <alignment horizontal="center" vertical="center"/>
    </xf>
    <xf numFmtId="0" fontId="11" fillId="10" borderId="35" xfId="0" applyFont="1" applyFill="1" applyBorder="1" applyAlignment="1">
      <alignment horizontal="center" vertical="center" wrapText="1"/>
    </xf>
    <xf numFmtId="0" fontId="11" fillId="10" borderId="37" xfId="0" applyFont="1" applyFill="1" applyBorder="1" applyAlignment="1">
      <alignment horizontal="center" vertical="center"/>
    </xf>
    <xf numFmtId="17" fontId="27" fillId="9" borderId="38" xfId="0" applyNumberFormat="1" applyFont="1" applyFill="1" applyBorder="1" applyAlignment="1">
      <alignment horizontal="center" vertical="center"/>
    </xf>
    <xf numFmtId="1" fontId="47" fillId="10" borderId="40" xfId="0" applyNumberFormat="1" applyFont="1" applyFill="1" applyBorder="1" applyAlignment="1">
      <alignment horizontal="center" vertical="center" wrapText="1"/>
    </xf>
    <xf numFmtId="1" fontId="47" fillId="10" borderId="41" xfId="0" applyNumberFormat="1" applyFont="1" applyFill="1" applyBorder="1" applyAlignment="1">
      <alignment horizontal="center" vertical="center"/>
    </xf>
    <xf numFmtId="0" fontId="27" fillId="9" borderId="8" xfId="0" applyFont="1" applyFill="1" applyBorder="1" applyAlignment="1">
      <alignment horizontal="center" vertical="center"/>
    </xf>
    <xf numFmtId="1" fontId="47" fillId="10" borderId="42" xfId="0" applyNumberFormat="1" applyFont="1" applyFill="1" applyBorder="1" applyAlignment="1">
      <alignment horizontal="center" vertical="center" wrapText="1"/>
    </xf>
    <xf numFmtId="1" fontId="47" fillId="10" borderId="43" xfId="0" applyNumberFormat="1" applyFont="1" applyFill="1" applyBorder="1" applyAlignment="1">
      <alignment horizontal="center" vertical="center"/>
    </xf>
    <xf numFmtId="1" fontId="47" fillId="10" borderId="44" xfId="0" applyNumberFormat="1" applyFont="1" applyFill="1" applyBorder="1" applyAlignment="1">
      <alignment horizontal="center" vertical="center" wrapText="1"/>
    </xf>
    <xf numFmtId="0" fontId="11" fillId="10" borderId="17" xfId="0" applyFont="1" applyFill="1" applyBorder="1" applyAlignment="1">
      <alignment horizontal="center" vertical="center"/>
    </xf>
    <xf numFmtId="167" fontId="27" fillId="9" borderId="39" xfId="0" applyNumberFormat="1" applyFont="1" applyFill="1" applyBorder="1" applyAlignment="1">
      <alignment horizontal="center" vertical="center"/>
    </xf>
    <xf numFmtId="167" fontId="27" fillId="9" borderId="8" xfId="0" applyNumberFormat="1" applyFont="1" applyFill="1" applyBorder="1" applyAlignment="1">
      <alignment horizontal="center" vertical="center"/>
    </xf>
    <xf numFmtId="167" fontId="27" fillId="9" borderId="45" xfId="0" applyNumberFormat="1" applyFont="1" applyFill="1" applyBorder="1" applyAlignment="1">
      <alignment horizontal="center" vertical="center"/>
    </xf>
    <xf numFmtId="0" fontId="0" fillId="9" borderId="1" xfId="0" applyFill="1" applyBorder="1" applyAlignment="1">
      <alignment wrapText="1"/>
    </xf>
    <xf numFmtId="0" fontId="9" fillId="9" borderId="8" xfId="0" applyFont="1" applyFill="1" applyBorder="1" applyAlignment="1">
      <alignment horizontal="center" vertical="center"/>
    </xf>
    <xf numFmtId="0" fontId="10" fillId="0" borderId="0" xfId="0" applyFont="1" applyAlignment="1">
      <alignment horizontal="center" vertical="center"/>
    </xf>
    <xf numFmtId="0" fontId="9" fillId="0" borderId="0" xfId="0" applyFont="1" applyAlignment="1">
      <alignment horizontal="center" vertical="center"/>
    </xf>
    <xf numFmtId="6" fontId="8" fillId="0" borderId="0" xfId="0" applyNumberFormat="1" applyFont="1" applyAlignment="1">
      <alignment horizontal="center"/>
    </xf>
    <xf numFmtId="6" fontId="8" fillId="9" borderId="8" xfId="0" applyNumberFormat="1" applyFont="1" applyFill="1" applyBorder="1" applyAlignment="1">
      <alignment horizontal="center"/>
    </xf>
    <xf numFmtId="6" fontId="8" fillId="9" borderId="46" xfId="0" applyNumberFormat="1" applyFont="1" applyFill="1" applyBorder="1" applyAlignment="1">
      <alignment horizontal="center"/>
    </xf>
    <xf numFmtId="0" fontId="10" fillId="2" borderId="1" xfId="0" applyFont="1" applyFill="1" applyBorder="1" applyAlignment="1">
      <alignment horizontal="center" vertical="center"/>
    </xf>
    <xf numFmtId="44" fontId="11" fillId="10" borderId="1" xfId="1" applyFont="1" applyFill="1" applyBorder="1" applyAlignment="1">
      <alignment horizontal="center" vertical="center"/>
    </xf>
    <xf numFmtId="0" fontId="0" fillId="9" borderId="0" xfId="0" applyFill="1"/>
    <xf numFmtId="0" fontId="12" fillId="10" borderId="4" xfId="0" applyFont="1" applyFill="1" applyBorder="1" applyAlignment="1">
      <alignment horizontal="center"/>
    </xf>
    <xf numFmtId="0" fontId="12" fillId="10" borderId="2" xfId="0" applyFont="1" applyFill="1" applyBorder="1" applyAlignment="1">
      <alignment horizontal="center"/>
    </xf>
    <xf numFmtId="0" fontId="12" fillId="10" borderId="3" xfId="0" applyFont="1" applyFill="1" applyBorder="1" applyAlignment="1">
      <alignment horizontal="center"/>
    </xf>
    <xf numFmtId="0" fontId="19" fillId="0" borderId="0" xfId="0" applyFont="1" applyAlignment="1">
      <alignment vertical="top"/>
    </xf>
    <xf numFmtId="0" fontId="20" fillId="0" borderId="0" xfId="0" applyFont="1" applyAlignment="1">
      <alignment vertical="top" wrapText="1"/>
    </xf>
    <xf numFmtId="0" fontId="10" fillId="2" borderId="7" xfId="0" applyFont="1" applyFill="1" applyBorder="1" applyAlignment="1">
      <alignment horizontal="center" vertical="center"/>
    </xf>
    <xf numFmtId="0" fontId="10" fillId="2" borderId="0" xfId="0" applyFont="1" applyFill="1" applyAlignment="1">
      <alignment horizontal="center" vertical="center"/>
    </xf>
    <xf numFmtId="0" fontId="17" fillId="2" borderId="4" xfId="0" applyFont="1" applyFill="1" applyBorder="1" applyAlignment="1">
      <alignment horizontal="center"/>
    </xf>
    <xf numFmtId="0" fontId="17" fillId="2" borderId="2" xfId="0" applyFont="1" applyFill="1" applyBorder="1" applyAlignment="1">
      <alignment horizontal="center"/>
    </xf>
    <xf numFmtId="0" fontId="23" fillId="10" borderId="32" xfId="0" applyFont="1" applyFill="1" applyBorder="1" applyAlignment="1">
      <alignment horizontal="center"/>
    </xf>
    <xf numFmtId="0" fontId="0" fillId="0" borderId="2" xfId="0" applyBorder="1"/>
    <xf numFmtId="0" fontId="0" fillId="0" borderId="3" xfId="0" applyBorder="1"/>
    <xf numFmtId="0" fontId="24" fillId="19" borderId="33" xfId="0" applyFont="1" applyFill="1" applyBorder="1" applyAlignment="1">
      <alignment horizontal="left" vertical="center" wrapText="1"/>
    </xf>
    <xf numFmtId="0" fontId="0" fillId="0" borderId="10" xfId="0" applyBorder="1"/>
    <xf numFmtId="0" fontId="0" fillId="0" borderId="11" xfId="0" applyBorder="1"/>
    <xf numFmtId="0" fontId="0" fillId="0" borderId="12" xfId="0" applyBorder="1"/>
    <xf numFmtId="0" fontId="0" fillId="0" borderId="0" xfId="0"/>
    <xf numFmtId="0" fontId="0" fillId="0" borderId="13" xfId="0" applyBorder="1"/>
    <xf numFmtId="0" fontId="24" fillId="19" borderId="34" xfId="0" applyFont="1" applyFill="1" applyBorder="1" applyAlignment="1">
      <alignment horizontal="left" vertical="center" wrapText="1"/>
    </xf>
    <xf numFmtId="0" fontId="24" fillId="19" borderId="34" xfId="0" applyFont="1" applyFill="1" applyBorder="1" applyAlignment="1">
      <alignment horizontal="left" vertical="center"/>
    </xf>
    <xf numFmtId="0" fontId="24" fillId="19" borderId="33" xfId="0" applyFont="1" applyFill="1" applyBorder="1" applyAlignment="1">
      <alignment horizontal="left" vertical="center"/>
    </xf>
    <xf numFmtId="0" fontId="12" fillId="10" borderId="9" xfId="0" applyFont="1" applyFill="1" applyBorder="1" applyAlignment="1">
      <alignment horizontal="center"/>
    </xf>
    <xf numFmtId="0" fontId="12" fillId="10" borderId="10" xfId="0" applyFont="1" applyFill="1" applyBorder="1" applyAlignment="1">
      <alignment horizontal="center"/>
    </xf>
    <xf numFmtId="0" fontId="12" fillId="10" borderId="11" xfId="0" applyFont="1" applyFill="1" applyBorder="1" applyAlignment="1">
      <alignment horizontal="center"/>
    </xf>
    <xf numFmtId="0" fontId="30" fillId="24" borderId="1" xfId="0" applyFont="1" applyFill="1" applyBorder="1" applyAlignment="1">
      <alignment horizontal="center" vertical="center" wrapText="1"/>
    </xf>
    <xf numFmtId="0" fontId="34" fillId="24" borderId="1" xfId="0" applyFont="1" applyFill="1" applyBorder="1" applyAlignment="1">
      <alignment horizontal="center" vertical="center" wrapText="1"/>
    </xf>
    <xf numFmtId="0" fontId="33" fillId="25" borderId="1" xfId="0" applyFont="1" applyFill="1" applyBorder="1"/>
    <xf numFmtId="0" fontId="34" fillId="25" borderId="1" xfId="0" applyFont="1" applyFill="1" applyBorder="1" applyAlignment="1">
      <alignment horizontal="center" vertical="center" wrapText="1"/>
    </xf>
    <xf numFmtId="0" fontId="34" fillId="26" borderId="1" xfId="0" applyFont="1" applyFill="1" applyBorder="1" applyAlignment="1">
      <alignment horizontal="left" vertical="center" wrapText="1"/>
    </xf>
    <xf numFmtId="0" fontId="34" fillId="26" borderId="1" xfId="0" applyFont="1" applyFill="1" applyBorder="1" applyAlignment="1">
      <alignment horizontal="center" vertical="center"/>
    </xf>
    <xf numFmtId="0" fontId="0" fillId="28" borderId="20" xfId="0" applyFill="1" applyBorder="1"/>
    <xf numFmtId="0" fontId="33" fillId="28" borderId="21" xfId="0" applyFont="1" applyFill="1" applyBorder="1"/>
    <xf numFmtId="0" fontId="33" fillId="28" borderId="22" xfId="0" applyFont="1" applyFill="1" applyBorder="1"/>
    <xf numFmtId="49" fontId="35" fillId="27" borderId="20" xfId="0" applyNumberFormat="1" applyFont="1" applyFill="1" applyBorder="1" applyAlignment="1">
      <alignment horizontal="left" vertical="top" wrapText="1"/>
    </xf>
    <xf numFmtId="0" fontId="0" fillId="27" borderId="30" xfId="0" applyFill="1" applyBorder="1"/>
    <xf numFmtId="0" fontId="0" fillId="28" borderId="30" xfId="0" applyFill="1" applyBorder="1"/>
    <xf numFmtId="0" fontId="0" fillId="27" borderId="20" xfId="0" applyFill="1" applyBorder="1"/>
    <xf numFmtId="49" fontId="35" fillId="28" borderId="20" xfId="0" applyNumberFormat="1" applyFont="1" applyFill="1" applyBorder="1" applyAlignment="1">
      <alignment horizontal="left" vertical="center"/>
    </xf>
    <xf numFmtId="0" fontId="0" fillId="28" borderId="21" xfId="0" applyFill="1" applyBorder="1"/>
    <xf numFmtId="0" fontId="0" fillId="27" borderId="21" xfId="0" applyFill="1" applyBorder="1"/>
    <xf numFmtId="0" fontId="40" fillId="24" borderId="20" xfId="0" applyFont="1" applyFill="1" applyBorder="1" applyAlignment="1">
      <alignment horizontal="center" vertical="center"/>
    </xf>
    <xf numFmtId="0" fontId="34" fillId="24" borderId="20" xfId="0" applyFont="1" applyFill="1" applyBorder="1" applyAlignment="1">
      <alignment horizontal="center" vertical="center"/>
    </xf>
    <xf numFmtId="0" fontId="34" fillId="24" borderId="24" xfId="0" applyFont="1" applyFill="1" applyBorder="1" applyAlignment="1">
      <alignment horizontal="center" vertical="center"/>
    </xf>
    <xf numFmtId="0" fontId="34" fillId="24" borderId="25" xfId="0" applyFont="1" applyFill="1" applyBorder="1" applyAlignment="1">
      <alignment horizontal="center" vertical="center"/>
    </xf>
    <xf numFmtId="49" fontId="35" fillId="27" borderId="20" xfId="0" applyNumberFormat="1" applyFont="1" applyFill="1" applyBorder="1" applyAlignment="1">
      <alignment horizontal="left" vertical="center" wrapText="1"/>
    </xf>
    <xf numFmtId="0" fontId="0" fillId="27" borderId="23" xfId="0" applyFill="1" applyBorder="1"/>
    <xf numFmtId="0" fontId="0" fillId="28" borderId="23" xfId="0" applyFill="1" applyBorder="1" applyAlignment="1">
      <alignment wrapText="1"/>
    </xf>
    <xf numFmtId="0" fontId="0" fillId="27" borderId="26" xfId="0" applyFill="1" applyBorder="1"/>
    <xf numFmtId="0" fontId="0" fillId="27" borderId="27" xfId="0" applyFill="1" applyBorder="1"/>
    <xf numFmtId="0" fontId="34" fillId="24" borderId="28" xfId="0" applyFont="1" applyFill="1" applyBorder="1" applyAlignment="1">
      <alignment horizontal="center" vertical="center"/>
    </xf>
    <xf numFmtId="0" fontId="34" fillId="24" borderId="23" xfId="0" applyFont="1" applyFill="1" applyBorder="1" applyAlignment="1">
      <alignment horizontal="center" vertical="center"/>
    </xf>
    <xf numFmtId="0" fontId="0" fillId="28" borderId="18" xfId="0" applyFill="1" applyBorder="1"/>
    <xf numFmtId="0" fontId="0" fillId="27" borderId="22" xfId="0" applyFill="1" applyBorder="1"/>
    <xf numFmtId="0" fontId="0" fillId="27" borderId="18" xfId="0" applyFill="1" applyBorder="1"/>
    <xf numFmtId="49" fontId="35" fillId="27" borderId="18" xfId="0" applyNumberFormat="1" applyFont="1" applyFill="1" applyBorder="1" applyAlignment="1">
      <alignment horizontal="center" vertical="center"/>
    </xf>
    <xf numFmtId="0" fontId="28" fillId="20" borderId="6" xfId="0" applyFont="1" applyFill="1" applyBorder="1" applyAlignment="1">
      <alignment horizontal="center" vertical="top" wrapText="1"/>
    </xf>
    <xf numFmtId="0" fontId="28" fillId="20" borderId="17" xfId="0" applyFont="1" applyFill="1" applyBorder="1" applyAlignment="1">
      <alignment horizontal="center" vertical="top" wrapText="1"/>
    </xf>
  </cellXfs>
  <cellStyles count="7">
    <cellStyle name="Date" xfId="6" xr:uid="{B67FE31A-ADA8-4913-8BB7-6E049ABF80CF}"/>
    <cellStyle name="Lien hypertexte" xfId="4" builtinId="8"/>
    <cellStyle name="Milliers" xfId="3" builtinId="3"/>
    <cellStyle name="Milliers [0]" xfId="5" builtinId="6"/>
    <cellStyle name="Monétaire" xfId="1" builtinId="4"/>
    <cellStyle name="Normal" xfId="0" builtinId="0"/>
    <cellStyle name="Pourcentage" xfId="2" builtinId="5"/>
  </cellStyles>
  <dxfs count="0"/>
  <tableStyles count="0" defaultTableStyle="TableStyleMedium2" defaultPivotStyle="PivotStyleLight16"/>
  <colors>
    <mruColors>
      <color rgb="FF852C98"/>
      <color rgb="FF4868E5"/>
      <color rgb="FF00B0F0"/>
      <color rgb="FF20A4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fr-FR"/>
              <a:t>Nbr de clients par rapport au nombre de visiteurs</a:t>
            </a: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Rentabilité!$B$11</c:f>
              <c:strCache>
                <c:ptCount val="1"/>
                <c:pt idx="0">
                  <c:v>Nbr de visiteurs</c:v>
                </c:pt>
              </c:strCache>
            </c:strRef>
          </c:tx>
          <c:spPr>
            <a:noFill/>
            <a:ln w="25400" cap="flat" cmpd="sng" algn="ctr">
              <a:solidFill>
                <a:schemeClr val="accent1"/>
              </a:solidFill>
              <a:miter lim="800000"/>
            </a:ln>
            <a:effectLst/>
          </c:spPr>
          <c:invertIfNegative val="0"/>
          <c:cat>
            <c:numRef>
              <c:f>Rentabilité!$A$12:$A$71</c:f>
              <c:numCache>
                <c:formatCode>mmm\-yy</c:formatCode>
                <c:ptCount val="60"/>
                <c:pt idx="0">
                  <c:v>47849</c:v>
                </c:pt>
                <c:pt idx="1">
                  <c:v>47880</c:v>
                </c:pt>
                <c:pt idx="2">
                  <c:v>47908</c:v>
                </c:pt>
                <c:pt idx="3">
                  <c:v>47939</c:v>
                </c:pt>
                <c:pt idx="4">
                  <c:v>47969</c:v>
                </c:pt>
                <c:pt idx="5">
                  <c:v>48000</c:v>
                </c:pt>
                <c:pt idx="6">
                  <c:v>48030</c:v>
                </c:pt>
                <c:pt idx="7">
                  <c:v>48061</c:v>
                </c:pt>
                <c:pt idx="8">
                  <c:v>48092</c:v>
                </c:pt>
                <c:pt idx="9">
                  <c:v>48122</c:v>
                </c:pt>
                <c:pt idx="10">
                  <c:v>48153</c:v>
                </c:pt>
                <c:pt idx="11">
                  <c:v>48183</c:v>
                </c:pt>
                <c:pt idx="12">
                  <c:v>48214</c:v>
                </c:pt>
                <c:pt idx="13">
                  <c:v>48245</c:v>
                </c:pt>
                <c:pt idx="14">
                  <c:v>48274</c:v>
                </c:pt>
                <c:pt idx="15">
                  <c:v>48305</c:v>
                </c:pt>
                <c:pt idx="16">
                  <c:v>48335</c:v>
                </c:pt>
                <c:pt idx="17">
                  <c:v>48366</c:v>
                </c:pt>
                <c:pt idx="18">
                  <c:v>48396</c:v>
                </c:pt>
                <c:pt idx="19">
                  <c:v>48427</c:v>
                </c:pt>
                <c:pt idx="20">
                  <c:v>48458</c:v>
                </c:pt>
                <c:pt idx="21">
                  <c:v>48488</c:v>
                </c:pt>
                <c:pt idx="22">
                  <c:v>48519</c:v>
                </c:pt>
                <c:pt idx="23">
                  <c:v>48549</c:v>
                </c:pt>
                <c:pt idx="24">
                  <c:v>48580</c:v>
                </c:pt>
                <c:pt idx="25">
                  <c:v>48611</c:v>
                </c:pt>
                <c:pt idx="26">
                  <c:v>48639</c:v>
                </c:pt>
                <c:pt idx="27">
                  <c:v>48670</c:v>
                </c:pt>
                <c:pt idx="28">
                  <c:v>48700</c:v>
                </c:pt>
                <c:pt idx="29">
                  <c:v>48731</c:v>
                </c:pt>
                <c:pt idx="30">
                  <c:v>48761</c:v>
                </c:pt>
                <c:pt idx="31">
                  <c:v>48792</c:v>
                </c:pt>
                <c:pt idx="32">
                  <c:v>48823</c:v>
                </c:pt>
                <c:pt idx="33">
                  <c:v>48853</c:v>
                </c:pt>
                <c:pt idx="34">
                  <c:v>48884</c:v>
                </c:pt>
                <c:pt idx="35">
                  <c:v>48914</c:v>
                </c:pt>
                <c:pt idx="36">
                  <c:v>48945</c:v>
                </c:pt>
                <c:pt idx="37">
                  <c:v>48976</c:v>
                </c:pt>
                <c:pt idx="38">
                  <c:v>49004</c:v>
                </c:pt>
                <c:pt idx="39">
                  <c:v>49035</c:v>
                </c:pt>
                <c:pt idx="40">
                  <c:v>49065</c:v>
                </c:pt>
                <c:pt idx="41">
                  <c:v>49096</c:v>
                </c:pt>
                <c:pt idx="42">
                  <c:v>49126</c:v>
                </c:pt>
                <c:pt idx="43">
                  <c:v>49157</c:v>
                </c:pt>
                <c:pt idx="44">
                  <c:v>49188</c:v>
                </c:pt>
                <c:pt idx="45">
                  <c:v>49218</c:v>
                </c:pt>
                <c:pt idx="46">
                  <c:v>49249</c:v>
                </c:pt>
                <c:pt idx="47">
                  <c:v>49279</c:v>
                </c:pt>
                <c:pt idx="48">
                  <c:v>49310</c:v>
                </c:pt>
                <c:pt idx="49">
                  <c:v>49341</c:v>
                </c:pt>
                <c:pt idx="50">
                  <c:v>49369</c:v>
                </c:pt>
                <c:pt idx="51">
                  <c:v>49400</c:v>
                </c:pt>
                <c:pt idx="52">
                  <c:v>49430</c:v>
                </c:pt>
                <c:pt idx="53">
                  <c:v>49461</c:v>
                </c:pt>
                <c:pt idx="54">
                  <c:v>49491</c:v>
                </c:pt>
                <c:pt idx="55">
                  <c:v>49522</c:v>
                </c:pt>
                <c:pt idx="56">
                  <c:v>49553</c:v>
                </c:pt>
                <c:pt idx="57">
                  <c:v>49583</c:v>
                </c:pt>
                <c:pt idx="58">
                  <c:v>49614</c:v>
                </c:pt>
                <c:pt idx="59">
                  <c:v>49644</c:v>
                </c:pt>
              </c:numCache>
            </c:numRef>
          </c:cat>
          <c:val>
            <c:numRef>
              <c:f>Rentabilité!$B$12:$B$71</c:f>
              <c:numCache>
                <c:formatCode>_-* #\ ##0_-;\-* #\ ##0_-;_-* "-"??_-;_-@_-</c:formatCode>
                <c:ptCount val="60"/>
                <c:pt idx="0">
                  <c:v>120000</c:v>
                </c:pt>
                <c:pt idx="1">
                  <c:v>132000</c:v>
                </c:pt>
                <c:pt idx="2">
                  <c:v>145200</c:v>
                </c:pt>
                <c:pt idx="3">
                  <c:v>159720</c:v>
                </c:pt>
                <c:pt idx="4">
                  <c:v>175692</c:v>
                </c:pt>
                <c:pt idx="5">
                  <c:v>193261.2</c:v>
                </c:pt>
                <c:pt idx="6">
                  <c:v>212587.32000000004</c:v>
                </c:pt>
                <c:pt idx="7">
                  <c:v>233846.05200000005</c:v>
                </c:pt>
                <c:pt idx="8">
                  <c:v>257230.65720000007</c:v>
                </c:pt>
                <c:pt idx="9">
                  <c:v>282953.72292000009</c:v>
                </c:pt>
                <c:pt idx="10">
                  <c:v>311249.09521200013</c:v>
                </c:pt>
                <c:pt idx="11">
                  <c:v>342374.00473320019</c:v>
                </c:pt>
                <c:pt idx="12">
                  <c:v>376611.40520652023</c:v>
                </c:pt>
                <c:pt idx="13">
                  <c:v>414272.54572717228</c:v>
                </c:pt>
                <c:pt idx="14">
                  <c:v>455699.80029988952</c:v>
                </c:pt>
                <c:pt idx="15">
                  <c:v>501269.7803298785</c:v>
                </c:pt>
                <c:pt idx="16">
                  <c:v>551396.75836286636</c:v>
                </c:pt>
                <c:pt idx="17">
                  <c:v>606536.4341991531</c:v>
                </c:pt>
                <c:pt idx="18">
                  <c:v>667190.07761906844</c:v>
                </c:pt>
                <c:pt idx="19">
                  <c:v>733909.08538097539</c:v>
                </c:pt>
                <c:pt idx="20">
                  <c:v>807299.99391907302</c:v>
                </c:pt>
                <c:pt idx="21">
                  <c:v>888029.99331098038</c:v>
                </c:pt>
                <c:pt idx="22">
                  <c:v>976832.99264207855</c:v>
                </c:pt>
                <c:pt idx="23">
                  <c:v>1074516.2919062865</c:v>
                </c:pt>
                <c:pt idx="24">
                  <c:v>1181967.9210969151</c:v>
                </c:pt>
                <c:pt idx="25">
                  <c:v>1300164.7132066067</c:v>
                </c:pt>
                <c:pt idx="26">
                  <c:v>1430181.1845272675</c:v>
                </c:pt>
                <c:pt idx="27">
                  <c:v>1573199.3029799943</c:v>
                </c:pt>
                <c:pt idx="28">
                  <c:v>1730519.233277994</c:v>
                </c:pt>
                <c:pt idx="29">
                  <c:v>1903571.1566057936</c:v>
                </c:pt>
                <c:pt idx="30">
                  <c:v>2093928.2722663733</c:v>
                </c:pt>
                <c:pt idx="31">
                  <c:v>2303321.0994930109</c:v>
                </c:pt>
                <c:pt idx="32">
                  <c:v>2533653.2094423124</c:v>
                </c:pt>
                <c:pt idx="33">
                  <c:v>2787018.5303865438</c:v>
                </c:pt>
                <c:pt idx="34">
                  <c:v>3065720.3834251985</c:v>
                </c:pt>
                <c:pt idx="35">
                  <c:v>3372292.4217677186</c:v>
                </c:pt>
                <c:pt idx="36">
                  <c:v>3709521.6639444907</c:v>
                </c:pt>
                <c:pt idx="37">
                  <c:v>4080473.83033894</c:v>
                </c:pt>
                <c:pt idx="38">
                  <c:v>4488521.213372834</c:v>
                </c:pt>
                <c:pt idx="39">
                  <c:v>4937373.3347101174</c:v>
                </c:pt>
                <c:pt idx="40">
                  <c:v>5431110.6681811297</c:v>
                </c:pt>
                <c:pt idx="41">
                  <c:v>5974221.7349992432</c:v>
                </c:pt>
                <c:pt idx="42">
                  <c:v>6571643.9084991682</c:v>
                </c:pt>
                <c:pt idx="43">
                  <c:v>7228808.2993490854</c:v>
                </c:pt>
                <c:pt idx="44">
                  <c:v>7951689.1292839944</c:v>
                </c:pt>
                <c:pt idx="45">
                  <c:v>8746858.042212395</c:v>
                </c:pt>
                <c:pt idx="46">
                  <c:v>9621543.8464336358</c:v>
                </c:pt>
                <c:pt idx="47">
                  <c:v>10583698.231077</c:v>
                </c:pt>
                <c:pt idx="48">
                  <c:v>11642068.054184701</c:v>
                </c:pt>
                <c:pt idx="49">
                  <c:v>12806274.859603172</c:v>
                </c:pt>
                <c:pt idx="50">
                  <c:v>14086902.34556349</c:v>
                </c:pt>
                <c:pt idx="51">
                  <c:v>15495592.580119841</c:v>
                </c:pt>
                <c:pt idx="52">
                  <c:v>17045151.838131826</c:v>
                </c:pt>
                <c:pt idx="53">
                  <c:v>18749667.021945011</c:v>
                </c:pt>
                <c:pt idx="54">
                  <c:v>20624633.724139515</c:v>
                </c:pt>
                <c:pt idx="55">
                  <c:v>22687097.096553467</c:v>
                </c:pt>
                <c:pt idx="56">
                  <c:v>24955806.806208815</c:v>
                </c:pt>
                <c:pt idx="57">
                  <c:v>27451387.486829698</c:v>
                </c:pt>
                <c:pt idx="58">
                  <c:v>30196526.23551267</c:v>
                </c:pt>
                <c:pt idx="59">
                  <c:v>33216178.859063938</c:v>
                </c:pt>
              </c:numCache>
            </c:numRef>
          </c:val>
          <c:extLst>
            <c:ext xmlns:c16="http://schemas.microsoft.com/office/drawing/2014/chart" uri="{C3380CC4-5D6E-409C-BE32-E72D297353CC}">
              <c16:uniqueId val="{00000000-9BA2-4051-9F7F-43DA00CA36D5}"/>
            </c:ext>
          </c:extLst>
        </c:ser>
        <c:ser>
          <c:idx val="1"/>
          <c:order val="1"/>
          <c:tx>
            <c:strRef>
              <c:f>Rentabilité!$C$11</c:f>
              <c:strCache>
                <c:ptCount val="1"/>
                <c:pt idx="0">
                  <c:v>Nbr de clients actifs</c:v>
                </c:pt>
              </c:strCache>
            </c:strRef>
          </c:tx>
          <c:spPr>
            <a:noFill/>
            <a:ln w="25400" cap="flat" cmpd="sng" algn="ctr">
              <a:solidFill>
                <a:schemeClr val="accent2"/>
              </a:solidFill>
              <a:miter lim="800000"/>
            </a:ln>
            <a:effectLst/>
          </c:spPr>
          <c:invertIfNegative val="0"/>
          <c:cat>
            <c:numRef>
              <c:f>Rentabilité!$A$12:$A$71</c:f>
              <c:numCache>
                <c:formatCode>mmm\-yy</c:formatCode>
                <c:ptCount val="60"/>
                <c:pt idx="0">
                  <c:v>47849</c:v>
                </c:pt>
                <c:pt idx="1">
                  <c:v>47880</c:v>
                </c:pt>
                <c:pt idx="2">
                  <c:v>47908</c:v>
                </c:pt>
                <c:pt idx="3">
                  <c:v>47939</c:v>
                </c:pt>
                <c:pt idx="4">
                  <c:v>47969</c:v>
                </c:pt>
                <c:pt idx="5">
                  <c:v>48000</c:v>
                </c:pt>
                <c:pt idx="6">
                  <c:v>48030</c:v>
                </c:pt>
                <c:pt idx="7">
                  <c:v>48061</c:v>
                </c:pt>
                <c:pt idx="8">
                  <c:v>48092</c:v>
                </c:pt>
                <c:pt idx="9">
                  <c:v>48122</c:v>
                </c:pt>
                <c:pt idx="10">
                  <c:v>48153</c:v>
                </c:pt>
                <c:pt idx="11">
                  <c:v>48183</c:v>
                </c:pt>
                <c:pt idx="12">
                  <c:v>48214</c:v>
                </c:pt>
                <c:pt idx="13">
                  <c:v>48245</c:v>
                </c:pt>
                <c:pt idx="14">
                  <c:v>48274</c:v>
                </c:pt>
                <c:pt idx="15">
                  <c:v>48305</c:v>
                </c:pt>
                <c:pt idx="16">
                  <c:v>48335</c:v>
                </c:pt>
                <c:pt idx="17">
                  <c:v>48366</c:v>
                </c:pt>
                <c:pt idx="18">
                  <c:v>48396</c:v>
                </c:pt>
                <c:pt idx="19">
                  <c:v>48427</c:v>
                </c:pt>
                <c:pt idx="20">
                  <c:v>48458</c:v>
                </c:pt>
                <c:pt idx="21">
                  <c:v>48488</c:v>
                </c:pt>
                <c:pt idx="22">
                  <c:v>48519</c:v>
                </c:pt>
                <c:pt idx="23">
                  <c:v>48549</c:v>
                </c:pt>
                <c:pt idx="24">
                  <c:v>48580</c:v>
                </c:pt>
                <c:pt idx="25">
                  <c:v>48611</c:v>
                </c:pt>
                <c:pt idx="26">
                  <c:v>48639</c:v>
                </c:pt>
                <c:pt idx="27">
                  <c:v>48670</c:v>
                </c:pt>
                <c:pt idx="28">
                  <c:v>48700</c:v>
                </c:pt>
                <c:pt idx="29">
                  <c:v>48731</c:v>
                </c:pt>
                <c:pt idx="30">
                  <c:v>48761</c:v>
                </c:pt>
                <c:pt idx="31">
                  <c:v>48792</c:v>
                </c:pt>
                <c:pt idx="32">
                  <c:v>48823</c:v>
                </c:pt>
                <c:pt idx="33">
                  <c:v>48853</c:v>
                </c:pt>
                <c:pt idx="34">
                  <c:v>48884</c:v>
                </c:pt>
                <c:pt idx="35">
                  <c:v>48914</c:v>
                </c:pt>
                <c:pt idx="36">
                  <c:v>48945</c:v>
                </c:pt>
                <c:pt idx="37">
                  <c:v>48976</c:v>
                </c:pt>
                <c:pt idx="38">
                  <c:v>49004</c:v>
                </c:pt>
                <c:pt idx="39">
                  <c:v>49035</c:v>
                </c:pt>
                <c:pt idx="40">
                  <c:v>49065</c:v>
                </c:pt>
                <c:pt idx="41">
                  <c:v>49096</c:v>
                </c:pt>
                <c:pt idx="42">
                  <c:v>49126</c:v>
                </c:pt>
                <c:pt idx="43">
                  <c:v>49157</c:v>
                </c:pt>
                <c:pt idx="44">
                  <c:v>49188</c:v>
                </c:pt>
                <c:pt idx="45">
                  <c:v>49218</c:v>
                </c:pt>
                <c:pt idx="46">
                  <c:v>49249</c:v>
                </c:pt>
                <c:pt idx="47">
                  <c:v>49279</c:v>
                </c:pt>
                <c:pt idx="48">
                  <c:v>49310</c:v>
                </c:pt>
                <c:pt idx="49">
                  <c:v>49341</c:v>
                </c:pt>
                <c:pt idx="50">
                  <c:v>49369</c:v>
                </c:pt>
                <c:pt idx="51">
                  <c:v>49400</c:v>
                </c:pt>
                <c:pt idx="52">
                  <c:v>49430</c:v>
                </c:pt>
                <c:pt idx="53">
                  <c:v>49461</c:v>
                </c:pt>
                <c:pt idx="54">
                  <c:v>49491</c:v>
                </c:pt>
                <c:pt idx="55">
                  <c:v>49522</c:v>
                </c:pt>
                <c:pt idx="56">
                  <c:v>49553</c:v>
                </c:pt>
                <c:pt idx="57">
                  <c:v>49583</c:v>
                </c:pt>
                <c:pt idx="58">
                  <c:v>49614</c:v>
                </c:pt>
                <c:pt idx="59">
                  <c:v>49644</c:v>
                </c:pt>
              </c:numCache>
            </c:numRef>
          </c:cat>
          <c:val>
            <c:numRef>
              <c:f>Rentabilité!$C$12:$C$71</c:f>
              <c:numCache>
                <c:formatCode>_-* #\ ##0_-;\-* #\ ##0_-;_-* "-"??_-;_-@_-</c:formatCode>
                <c:ptCount val="60"/>
                <c:pt idx="0">
                  <c:v>12000</c:v>
                </c:pt>
                <c:pt idx="1">
                  <c:v>13200</c:v>
                </c:pt>
                <c:pt idx="2">
                  <c:v>14520</c:v>
                </c:pt>
                <c:pt idx="3">
                  <c:v>15972</c:v>
                </c:pt>
                <c:pt idx="4">
                  <c:v>17570</c:v>
                </c:pt>
                <c:pt idx="5">
                  <c:v>19327</c:v>
                </c:pt>
                <c:pt idx="6">
                  <c:v>21259</c:v>
                </c:pt>
                <c:pt idx="7">
                  <c:v>23385</c:v>
                </c:pt>
                <c:pt idx="8">
                  <c:v>25724</c:v>
                </c:pt>
                <c:pt idx="9">
                  <c:v>28296</c:v>
                </c:pt>
                <c:pt idx="10">
                  <c:v>31125</c:v>
                </c:pt>
                <c:pt idx="11">
                  <c:v>34238</c:v>
                </c:pt>
                <c:pt idx="12">
                  <c:v>37662</c:v>
                </c:pt>
                <c:pt idx="13">
                  <c:v>41428</c:v>
                </c:pt>
                <c:pt idx="14">
                  <c:v>45570</c:v>
                </c:pt>
                <c:pt idx="15">
                  <c:v>50127</c:v>
                </c:pt>
                <c:pt idx="16">
                  <c:v>55140</c:v>
                </c:pt>
                <c:pt idx="17">
                  <c:v>60654</c:v>
                </c:pt>
                <c:pt idx="18">
                  <c:v>66720</c:v>
                </c:pt>
                <c:pt idx="19">
                  <c:v>73391</c:v>
                </c:pt>
                <c:pt idx="20">
                  <c:v>80730</c:v>
                </c:pt>
                <c:pt idx="21">
                  <c:v>88803</c:v>
                </c:pt>
                <c:pt idx="22">
                  <c:v>97684</c:v>
                </c:pt>
                <c:pt idx="23">
                  <c:v>107452</c:v>
                </c:pt>
                <c:pt idx="24">
                  <c:v>118197</c:v>
                </c:pt>
                <c:pt idx="25">
                  <c:v>130017</c:v>
                </c:pt>
                <c:pt idx="26">
                  <c:v>143019</c:v>
                </c:pt>
                <c:pt idx="27">
                  <c:v>157320</c:v>
                </c:pt>
                <c:pt idx="28">
                  <c:v>173052</c:v>
                </c:pt>
                <c:pt idx="29">
                  <c:v>190358</c:v>
                </c:pt>
                <c:pt idx="30">
                  <c:v>209393</c:v>
                </c:pt>
                <c:pt idx="31">
                  <c:v>230333</c:v>
                </c:pt>
                <c:pt idx="32">
                  <c:v>253366</c:v>
                </c:pt>
                <c:pt idx="33">
                  <c:v>278702</c:v>
                </c:pt>
                <c:pt idx="34">
                  <c:v>306573</c:v>
                </c:pt>
                <c:pt idx="35">
                  <c:v>337230</c:v>
                </c:pt>
                <c:pt idx="36">
                  <c:v>370953</c:v>
                </c:pt>
                <c:pt idx="37">
                  <c:v>408048</c:v>
                </c:pt>
                <c:pt idx="38">
                  <c:v>448853</c:v>
                </c:pt>
                <c:pt idx="39">
                  <c:v>493738</c:v>
                </c:pt>
                <c:pt idx="40">
                  <c:v>543112</c:v>
                </c:pt>
                <c:pt idx="41">
                  <c:v>597423</c:v>
                </c:pt>
                <c:pt idx="42">
                  <c:v>657165</c:v>
                </c:pt>
                <c:pt idx="43">
                  <c:v>722881</c:v>
                </c:pt>
                <c:pt idx="44">
                  <c:v>795169</c:v>
                </c:pt>
                <c:pt idx="45">
                  <c:v>874686</c:v>
                </c:pt>
                <c:pt idx="46">
                  <c:v>962155</c:v>
                </c:pt>
                <c:pt idx="47">
                  <c:v>1058370</c:v>
                </c:pt>
                <c:pt idx="48">
                  <c:v>1164207</c:v>
                </c:pt>
                <c:pt idx="49">
                  <c:v>1280628</c:v>
                </c:pt>
                <c:pt idx="50">
                  <c:v>1408691</c:v>
                </c:pt>
                <c:pt idx="51">
                  <c:v>1549560</c:v>
                </c:pt>
                <c:pt idx="52">
                  <c:v>1704516</c:v>
                </c:pt>
                <c:pt idx="53">
                  <c:v>1874967</c:v>
                </c:pt>
                <c:pt idx="54">
                  <c:v>2062464</c:v>
                </c:pt>
                <c:pt idx="55">
                  <c:v>2268710</c:v>
                </c:pt>
                <c:pt idx="56">
                  <c:v>2495581</c:v>
                </c:pt>
                <c:pt idx="57">
                  <c:v>2745139</c:v>
                </c:pt>
                <c:pt idx="58">
                  <c:v>3019653</c:v>
                </c:pt>
                <c:pt idx="59">
                  <c:v>3321618</c:v>
                </c:pt>
              </c:numCache>
            </c:numRef>
          </c:val>
          <c:extLst>
            <c:ext xmlns:c16="http://schemas.microsoft.com/office/drawing/2014/chart" uri="{C3380CC4-5D6E-409C-BE32-E72D297353CC}">
              <c16:uniqueId val="{00000001-9BA2-4051-9F7F-43DA00CA36D5}"/>
            </c:ext>
          </c:extLst>
        </c:ser>
        <c:dLbls>
          <c:showLegendKey val="0"/>
          <c:showVal val="0"/>
          <c:showCatName val="0"/>
          <c:showSerName val="0"/>
          <c:showPercent val="0"/>
          <c:showBubbleSize val="0"/>
        </c:dLbls>
        <c:gapWidth val="164"/>
        <c:overlap val="-35"/>
        <c:axId val="2045127887"/>
        <c:axId val="2045128367"/>
      </c:barChart>
      <c:dateAx>
        <c:axId val="204512788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fr-FR"/>
                  <a:t>Mois/année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title>
        <c:numFmt formatCode="mmm\-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045128367"/>
        <c:crosses val="autoZero"/>
        <c:auto val="1"/>
        <c:lblOffset val="100"/>
        <c:baseTimeUnit val="months"/>
      </c:dateAx>
      <c:valAx>
        <c:axId val="2045128367"/>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fr-FR"/>
                  <a:t>Nombre d'utilisateurs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title>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crossAx val="20451278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fr-FR" b="0"/>
              <a:t>Gains</a:t>
            </a:r>
            <a:r>
              <a:rPr lang="fr-FR" b="0" baseline="0"/>
              <a:t> estimé par catégorie</a:t>
            </a:r>
            <a:endParaRPr lang="fr-FR" b="0"/>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stacked"/>
        <c:varyColors val="0"/>
        <c:ser>
          <c:idx val="2"/>
          <c:order val="2"/>
          <c:tx>
            <c:strRef>
              <c:f>Rentabilité!$D$11</c:f>
              <c:strCache>
                <c:ptCount val="1"/>
                <c:pt idx="0">
                  <c:v>Gains par transactions</c:v>
                </c:pt>
              </c:strCache>
            </c:strRef>
          </c:tx>
          <c:spPr>
            <a:solidFill>
              <a:srgbClr val="00B0F0"/>
            </a:solidFill>
            <a:ln>
              <a:noFill/>
            </a:ln>
            <a:effectLst/>
          </c:spPr>
          <c:invertIfNegative val="0"/>
          <c:cat>
            <c:numRef>
              <c:f>Rentabilité!$A$12:$A$71</c:f>
              <c:numCache>
                <c:formatCode>mmm\-yy</c:formatCode>
                <c:ptCount val="60"/>
                <c:pt idx="0">
                  <c:v>47849</c:v>
                </c:pt>
                <c:pt idx="1">
                  <c:v>47880</c:v>
                </c:pt>
                <c:pt idx="2">
                  <c:v>47908</c:v>
                </c:pt>
                <c:pt idx="3">
                  <c:v>47939</c:v>
                </c:pt>
                <c:pt idx="4">
                  <c:v>47969</c:v>
                </c:pt>
                <c:pt idx="5">
                  <c:v>48000</c:v>
                </c:pt>
                <c:pt idx="6">
                  <c:v>48030</c:v>
                </c:pt>
                <c:pt idx="7">
                  <c:v>48061</c:v>
                </c:pt>
                <c:pt idx="8">
                  <c:v>48092</c:v>
                </c:pt>
                <c:pt idx="9">
                  <c:v>48122</c:v>
                </c:pt>
                <c:pt idx="10">
                  <c:v>48153</c:v>
                </c:pt>
                <c:pt idx="11">
                  <c:v>48183</c:v>
                </c:pt>
                <c:pt idx="12">
                  <c:v>48214</c:v>
                </c:pt>
                <c:pt idx="13">
                  <c:v>48245</c:v>
                </c:pt>
                <c:pt idx="14">
                  <c:v>48274</c:v>
                </c:pt>
                <c:pt idx="15">
                  <c:v>48305</c:v>
                </c:pt>
                <c:pt idx="16">
                  <c:v>48335</c:v>
                </c:pt>
                <c:pt idx="17">
                  <c:v>48366</c:v>
                </c:pt>
                <c:pt idx="18">
                  <c:v>48396</c:v>
                </c:pt>
                <c:pt idx="19">
                  <c:v>48427</c:v>
                </c:pt>
                <c:pt idx="20">
                  <c:v>48458</c:v>
                </c:pt>
                <c:pt idx="21">
                  <c:v>48488</c:v>
                </c:pt>
                <c:pt idx="22">
                  <c:v>48519</c:v>
                </c:pt>
                <c:pt idx="23">
                  <c:v>48549</c:v>
                </c:pt>
                <c:pt idx="24">
                  <c:v>48580</c:v>
                </c:pt>
                <c:pt idx="25">
                  <c:v>48611</c:v>
                </c:pt>
                <c:pt idx="26">
                  <c:v>48639</c:v>
                </c:pt>
                <c:pt idx="27">
                  <c:v>48670</c:v>
                </c:pt>
                <c:pt idx="28">
                  <c:v>48700</c:v>
                </c:pt>
                <c:pt idx="29">
                  <c:v>48731</c:v>
                </c:pt>
                <c:pt idx="30">
                  <c:v>48761</c:v>
                </c:pt>
                <c:pt idx="31">
                  <c:v>48792</c:v>
                </c:pt>
                <c:pt idx="32">
                  <c:v>48823</c:v>
                </c:pt>
                <c:pt idx="33">
                  <c:v>48853</c:v>
                </c:pt>
                <c:pt idx="34">
                  <c:v>48884</c:v>
                </c:pt>
                <c:pt idx="35">
                  <c:v>48914</c:v>
                </c:pt>
                <c:pt idx="36">
                  <c:v>48945</c:v>
                </c:pt>
                <c:pt idx="37">
                  <c:v>48976</c:v>
                </c:pt>
                <c:pt idx="38">
                  <c:v>49004</c:v>
                </c:pt>
                <c:pt idx="39">
                  <c:v>49035</c:v>
                </c:pt>
                <c:pt idx="40">
                  <c:v>49065</c:v>
                </c:pt>
                <c:pt idx="41">
                  <c:v>49096</c:v>
                </c:pt>
                <c:pt idx="42">
                  <c:v>49126</c:v>
                </c:pt>
                <c:pt idx="43">
                  <c:v>49157</c:v>
                </c:pt>
                <c:pt idx="44">
                  <c:v>49188</c:v>
                </c:pt>
                <c:pt idx="45">
                  <c:v>49218</c:v>
                </c:pt>
                <c:pt idx="46">
                  <c:v>49249</c:v>
                </c:pt>
                <c:pt idx="47">
                  <c:v>49279</c:v>
                </c:pt>
                <c:pt idx="48">
                  <c:v>49310</c:v>
                </c:pt>
                <c:pt idx="49">
                  <c:v>49341</c:v>
                </c:pt>
                <c:pt idx="50">
                  <c:v>49369</c:v>
                </c:pt>
                <c:pt idx="51">
                  <c:v>49400</c:v>
                </c:pt>
                <c:pt idx="52">
                  <c:v>49430</c:v>
                </c:pt>
                <c:pt idx="53">
                  <c:v>49461</c:v>
                </c:pt>
                <c:pt idx="54">
                  <c:v>49491</c:v>
                </c:pt>
                <c:pt idx="55">
                  <c:v>49522</c:v>
                </c:pt>
                <c:pt idx="56">
                  <c:v>49553</c:v>
                </c:pt>
                <c:pt idx="57">
                  <c:v>49583</c:v>
                </c:pt>
                <c:pt idx="58">
                  <c:v>49614</c:v>
                </c:pt>
                <c:pt idx="59">
                  <c:v>49644</c:v>
                </c:pt>
              </c:numCache>
            </c:numRef>
          </c:cat>
          <c:val>
            <c:numRef>
              <c:f>Rentabilité!$D$12:$D$71</c:f>
              <c:numCache>
                <c:formatCode>_("€"* #,##0.00_);_("€"* \(#,##0.00\);_("€"* "-"??_);_(@_)</c:formatCode>
                <c:ptCount val="60"/>
                <c:pt idx="0">
                  <c:v>36000</c:v>
                </c:pt>
                <c:pt idx="1">
                  <c:v>39600</c:v>
                </c:pt>
                <c:pt idx="2">
                  <c:v>43560</c:v>
                </c:pt>
                <c:pt idx="3">
                  <c:v>47916</c:v>
                </c:pt>
                <c:pt idx="4">
                  <c:v>52710</c:v>
                </c:pt>
                <c:pt idx="5">
                  <c:v>57981</c:v>
                </c:pt>
                <c:pt idx="6">
                  <c:v>63777</c:v>
                </c:pt>
                <c:pt idx="7">
                  <c:v>70155</c:v>
                </c:pt>
                <c:pt idx="8">
                  <c:v>77172</c:v>
                </c:pt>
                <c:pt idx="9">
                  <c:v>84888</c:v>
                </c:pt>
                <c:pt idx="10">
                  <c:v>93375</c:v>
                </c:pt>
                <c:pt idx="11">
                  <c:v>102714</c:v>
                </c:pt>
                <c:pt idx="12">
                  <c:v>112986</c:v>
                </c:pt>
                <c:pt idx="13">
                  <c:v>124284</c:v>
                </c:pt>
                <c:pt idx="14">
                  <c:v>136710</c:v>
                </c:pt>
                <c:pt idx="15">
                  <c:v>150381</c:v>
                </c:pt>
                <c:pt idx="16">
                  <c:v>165420</c:v>
                </c:pt>
                <c:pt idx="17">
                  <c:v>181962</c:v>
                </c:pt>
                <c:pt idx="18">
                  <c:v>200160</c:v>
                </c:pt>
                <c:pt idx="19">
                  <c:v>220173</c:v>
                </c:pt>
                <c:pt idx="20">
                  <c:v>242190</c:v>
                </c:pt>
                <c:pt idx="21">
                  <c:v>266409</c:v>
                </c:pt>
                <c:pt idx="22">
                  <c:v>293052</c:v>
                </c:pt>
                <c:pt idx="23">
                  <c:v>322356</c:v>
                </c:pt>
                <c:pt idx="24">
                  <c:v>354591</c:v>
                </c:pt>
                <c:pt idx="25">
                  <c:v>390051</c:v>
                </c:pt>
                <c:pt idx="26">
                  <c:v>429057</c:v>
                </c:pt>
                <c:pt idx="27">
                  <c:v>471960</c:v>
                </c:pt>
                <c:pt idx="28">
                  <c:v>519156</c:v>
                </c:pt>
                <c:pt idx="29">
                  <c:v>571074</c:v>
                </c:pt>
                <c:pt idx="30">
                  <c:v>628179</c:v>
                </c:pt>
                <c:pt idx="31">
                  <c:v>690999</c:v>
                </c:pt>
                <c:pt idx="32">
                  <c:v>760098</c:v>
                </c:pt>
                <c:pt idx="33">
                  <c:v>836106</c:v>
                </c:pt>
                <c:pt idx="34">
                  <c:v>919719</c:v>
                </c:pt>
                <c:pt idx="35">
                  <c:v>1011690</c:v>
                </c:pt>
                <c:pt idx="36">
                  <c:v>1112859</c:v>
                </c:pt>
                <c:pt idx="37">
                  <c:v>1224144</c:v>
                </c:pt>
                <c:pt idx="38">
                  <c:v>1346559</c:v>
                </c:pt>
                <c:pt idx="39">
                  <c:v>1481214</c:v>
                </c:pt>
                <c:pt idx="40">
                  <c:v>1629336</c:v>
                </c:pt>
                <c:pt idx="41">
                  <c:v>1792269</c:v>
                </c:pt>
                <c:pt idx="42">
                  <c:v>1971495</c:v>
                </c:pt>
                <c:pt idx="43">
                  <c:v>2168643</c:v>
                </c:pt>
                <c:pt idx="44">
                  <c:v>2385507</c:v>
                </c:pt>
                <c:pt idx="45">
                  <c:v>2624058</c:v>
                </c:pt>
                <c:pt idx="46">
                  <c:v>2886465</c:v>
                </c:pt>
                <c:pt idx="47">
                  <c:v>3175110</c:v>
                </c:pt>
                <c:pt idx="48">
                  <c:v>3492621</c:v>
                </c:pt>
                <c:pt idx="49">
                  <c:v>3841884</c:v>
                </c:pt>
                <c:pt idx="50">
                  <c:v>4226073</c:v>
                </c:pt>
                <c:pt idx="51">
                  <c:v>4648680</c:v>
                </c:pt>
                <c:pt idx="52">
                  <c:v>5113548</c:v>
                </c:pt>
                <c:pt idx="53">
                  <c:v>5624901</c:v>
                </c:pt>
                <c:pt idx="54">
                  <c:v>6187392</c:v>
                </c:pt>
                <c:pt idx="55">
                  <c:v>6806130</c:v>
                </c:pt>
                <c:pt idx="56">
                  <c:v>7486743</c:v>
                </c:pt>
                <c:pt idx="57">
                  <c:v>8235417</c:v>
                </c:pt>
                <c:pt idx="58">
                  <c:v>9058959</c:v>
                </c:pt>
                <c:pt idx="59">
                  <c:v>9964854</c:v>
                </c:pt>
              </c:numCache>
            </c:numRef>
          </c:val>
          <c:extLst>
            <c:ext xmlns:c16="http://schemas.microsoft.com/office/drawing/2014/chart" uri="{C3380CC4-5D6E-409C-BE32-E72D297353CC}">
              <c16:uniqueId val="{00000002-F4CB-4B80-BB4C-0F453673CEDE}"/>
            </c:ext>
          </c:extLst>
        </c:ser>
        <c:ser>
          <c:idx val="3"/>
          <c:order val="3"/>
          <c:tx>
            <c:strRef>
              <c:f>Rentabilité!$E$11</c:f>
              <c:strCache>
                <c:ptCount val="1"/>
                <c:pt idx="0">
                  <c:v>Gains publicité</c:v>
                </c:pt>
              </c:strCache>
            </c:strRef>
          </c:tx>
          <c:spPr>
            <a:solidFill>
              <a:srgbClr val="92D050"/>
            </a:solidFill>
            <a:ln>
              <a:noFill/>
            </a:ln>
            <a:effectLst/>
          </c:spPr>
          <c:invertIfNegative val="0"/>
          <c:cat>
            <c:numRef>
              <c:f>Rentabilité!$A$12:$A$71</c:f>
              <c:numCache>
                <c:formatCode>mmm\-yy</c:formatCode>
                <c:ptCount val="60"/>
                <c:pt idx="0">
                  <c:v>47849</c:v>
                </c:pt>
                <c:pt idx="1">
                  <c:v>47880</c:v>
                </c:pt>
                <c:pt idx="2">
                  <c:v>47908</c:v>
                </c:pt>
                <c:pt idx="3">
                  <c:v>47939</c:v>
                </c:pt>
                <c:pt idx="4">
                  <c:v>47969</c:v>
                </c:pt>
                <c:pt idx="5">
                  <c:v>48000</c:v>
                </c:pt>
                <c:pt idx="6">
                  <c:v>48030</c:v>
                </c:pt>
                <c:pt idx="7">
                  <c:v>48061</c:v>
                </c:pt>
                <c:pt idx="8">
                  <c:v>48092</c:v>
                </c:pt>
                <c:pt idx="9">
                  <c:v>48122</c:v>
                </c:pt>
                <c:pt idx="10">
                  <c:v>48153</c:v>
                </c:pt>
                <c:pt idx="11">
                  <c:v>48183</c:v>
                </c:pt>
                <c:pt idx="12">
                  <c:v>48214</c:v>
                </c:pt>
                <c:pt idx="13">
                  <c:v>48245</c:v>
                </c:pt>
                <c:pt idx="14">
                  <c:v>48274</c:v>
                </c:pt>
                <c:pt idx="15">
                  <c:v>48305</c:v>
                </c:pt>
                <c:pt idx="16">
                  <c:v>48335</c:v>
                </c:pt>
                <c:pt idx="17">
                  <c:v>48366</c:v>
                </c:pt>
                <c:pt idx="18">
                  <c:v>48396</c:v>
                </c:pt>
                <c:pt idx="19">
                  <c:v>48427</c:v>
                </c:pt>
                <c:pt idx="20">
                  <c:v>48458</c:v>
                </c:pt>
                <c:pt idx="21">
                  <c:v>48488</c:v>
                </c:pt>
                <c:pt idx="22">
                  <c:v>48519</c:v>
                </c:pt>
                <c:pt idx="23">
                  <c:v>48549</c:v>
                </c:pt>
                <c:pt idx="24">
                  <c:v>48580</c:v>
                </c:pt>
                <c:pt idx="25">
                  <c:v>48611</c:v>
                </c:pt>
                <c:pt idx="26">
                  <c:v>48639</c:v>
                </c:pt>
                <c:pt idx="27">
                  <c:v>48670</c:v>
                </c:pt>
                <c:pt idx="28">
                  <c:v>48700</c:v>
                </c:pt>
                <c:pt idx="29">
                  <c:v>48731</c:v>
                </c:pt>
                <c:pt idx="30">
                  <c:v>48761</c:v>
                </c:pt>
                <c:pt idx="31">
                  <c:v>48792</c:v>
                </c:pt>
                <c:pt idx="32">
                  <c:v>48823</c:v>
                </c:pt>
                <c:pt idx="33">
                  <c:v>48853</c:v>
                </c:pt>
                <c:pt idx="34">
                  <c:v>48884</c:v>
                </c:pt>
                <c:pt idx="35">
                  <c:v>48914</c:v>
                </c:pt>
                <c:pt idx="36">
                  <c:v>48945</c:v>
                </c:pt>
                <c:pt idx="37">
                  <c:v>48976</c:v>
                </c:pt>
                <c:pt idx="38">
                  <c:v>49004</c:v>
                </c:pt>
                <c:pt idx="39">
                  <c:v>49035</c:v>
                </c:pt>
                <c:pt idx="40">
                  <c:v>49065</c:v>
                </c:pt>
                <c:pt idx="41">
                  <c:v>49096</c:v>
                </c:pt>
                <c:pt idx="42">
                  <c:v>49126</c:v>
                </c:pt>
                <c:pt idx="43">
                  <c:v>49157</c:v>
                </c:pt>
                <c:pt idx="44">
                  <c:v>49188</c:v>
                </c:pt>
                <c:pt idx="45">
                  <c:v>49218</c:v>
                </c:pt>
                <c:pt idx="46">
                  <c:v>49249</c:v>
                </c:pt>
                <c:pt idx="47">
                  <c:v>49279</c:v>
                </c:pt>
                <c:pt idx="48">
                  <c:v>49310</c:v>
                </c:pt>
                <c:pt idx="49">
                  <c:v>49341</c:v>
                </c:pt>
                <c:pt idx="50">
                  <c:v>49369</c:v>
                </c:pt>
                <c:pt idx="51">
                  <c:v>49400</c:v>
                </c:pt>
                <c:pt idx="52">
                  <c:v>49430</c:v>
                </c:pt>
                <c:pt idx="53">
                  <c:v>49461</c:v>
                </c:pt>
                <c:pt idx="54">
                  <c:v>49491</c:v>
                </c:pt>
                <c:pt idx="55">
                  <c:v>49522</c:v>
                </c:pt>
                <c:pt idx="56">
                  <c:v>49553</c:v>
                </c:pt>
                <c:pt idx="57">
                  <c:v>49583</c:v>
                </c:pt>
                <c:pt idx="58">
                  <c:v>49614</c:v>
                </c:pt>
                <c:pt idx="59">
                  <c:v>49644</c:v>
                </c:pt>
              </c:numCache>
            </c:numRef>
          </c:cat>
          <c:val>
            <c:numRef>
              <c:f>Rentabilité!$E$12:$E$71</c:f>
              <c:numCache>
                <c:formatCode>_("€"* #,##0.00_);_("€"* \(#,##0.00\);_("€"* "-"??_);_(@_)</c:formatCode>
                <c:ptCount val="60"/>
                <c:pt idx="0">
                  <c:v>1440</c:v>
                </c:pt>
                <c:pt idx="1">
                  <c:v>1584</c:v>
                </c:pt>
                <c:pt idx="2">
                  <c:v>1742.3999999999999</c:v>
                </c:pt>
                <c:pt idx="3">
                  <c:v>1916.6400000000003</c:v>
                </c:pt>
                <c:pt idx="4">
                  <c:v>2108.3040000000001</c:v>
                </c:pt>
                <c:pt idx="5">
                  <c:v>2319.1344000000004</c:v>
                </c:pt>
                <c:pt idx="6">
                  <c:v>2551.0478400000006</c:v>
                </c:pt>
                <c:pt idx="7">
                  <c:v>2806.1526240000007</c:v>
                </c:pt>
                <c:pt idx="8">
                  <c:v>3086.7678864000013</c:v>
                </c:pt>
                <c:pt idx="9">
                  <c:v>3395.4446750400016</c:v>
                </c:pt>
                <c:pt idx="10">
                  <c:v>3734.9891425440019</c:v>
                </c:pt>
                <c:pt idx="11">
                  <c:v>4108.4880567984019</c:v>
                </c:pt>
                <c:pt idx="12">
                  <c:v>4519.3368624782424</c:v>
                </c:pt>
                <c:pt idx="13">
                  <c:v>4971.2705487260682</c:v>
                </c:pt>
                <c:pt idx="14">
                  <c:v>5468.3976035986743</c:v>
                </c:pt>
                <c:pt idx="15">
                  <c:v>6015.2373639585421</c:v>
                </c:pt>
                <c:pt idx="16">
                  <c:v>6616.7611003543952</c:v>
                </c:pt>
                <c:pt idx="17">
                  <c:v>7278.4372103898368</c:v>
                </c:pt>
                <c:pt idx="18">
                  <c:v>8006.2809314288215</c:v>
                </c:pt>
                <c:pt idx="19">
                  <c:v>8806.9090245717052</c:v>
                </c:pt>
                <c:pt idx="20">
                  <c:v>9687.5999270288776</c:v>
                </c:pt>
                <c:pt idx="21">
                  <c:v>10656.359919731764</c:v>
                </c:pt>
                <c:pt idx="22">
                  <c:v>11721.995911704944</c:v>
                </c:pt>
                <c:pt idx="23">
                  <c:v>12894.195502875438</c:v>
                </c:pt>
                <c:pt idx="24">
                  <c:v>14183.615053162983</c:v>
                </c:pt>
                <c:pt idx="25">
                  <c:v>15601.97655847928</c:v>
                </c:pt>
                <c:pt idx="26">
                  <c:v>17162.174214327209</c:v>
                </c:pt>
                <c:pt idx="27">
                  <c:v>18878.391635759937</c:v>
                </c:pt>
                <c:pt idx="28">
                  <c:v>20766.230799335928</c:v>
                </c:pt>
                <c:pt idx="29">
                  <c:v>22842.853879269525</c:v>
                </c:pt>
                <c:pt idx="30">
                  <c:v>25127.139267196479</c:v>
                </c:pt>
                <c:pt idx="31">
                  <c:v>27639.853193916133</c:v>
                </c:pt>
                <c:pt idx="32">
                  <c:v>30403.838513307754</c:v>
                </c:pt>
                <c:pt idx="33">
                  <c:v>33444.222364638532</c:v>
                </c:pt>
                <c:pt idx="34">
                  <c:v>36788.64460110238</c:v>
                </c:pt>
                <c:pt idx="35">
                  <c:v>40467.50906121263</c:v>
                </c:pt>
                <c:pt idx="36">
                  <c:v>44514.259967333885</c:v>
                </c:pt>
                <c:pt idx="37">
                  <c:v>48965.685964067277</c:v>
                </c:pt>
                <c:pt idx="38">
                  <c:v>53862.254560474001</c:v>
                </c:pt>
                <c:pt idx="39">
                  <c:v>59248.480016521404</c:v>
                </c:pt>
                <c:pt idx="40">
                  <c:v>65173.328018173568</c:v>
                </c:pt>
                <c:pt idx="41">
                  <c:v>71690.660819990939</c:v>
                </c:pt>
                <c:pt idx="42">
                  <c:v>78859.726901990012</c:v>
                </c:pt>
                <c:pt idx="43">
                  <c:v>86745.699592189019</c:v>
                </c:pt>
                <c:pt idx="44">
                  <c:v>95420.269551407953</c:v>
                </c:pt>
                <c:pt idx="45">
                  <c:v>104962.29650654874</c:v>
                </c:pt>
                <c:pt idx="46">
                  <c:v>115458.52615720364</c:v>
                </c:pt>
                <c:pt idx="47">
                  <c:v>127004.378772924</c:v>
                </c:pt>
                <c:pt idx="48">
                  <c:v>139704.81665021641</c:v>
                </c:pt>
                <c:pt idx="49">
                  <c:v>153675.29831523806</c:v>
                </c:pt>
                <c:pt idx="50">
                  <c:v>169042.82814676192</c:v>
                </c:pt>
                <c:pt idx="51">
                  <c:v>185947.1109614381</c:v>
                </c:pt>
                <c:pt idx="52">
                  <c:v>204541.82205758191</c:v>
                </c:pt>
                <c:pt idx="53">
                  <c:v>224996.00426334012</c:v>
                </c:pt>
                <c:pt idx="54">
                  <c:v>247495.60468967419</c:v>
                </c:pt>
                <c:pt idx="55">
                  <c:v>272245.16515864164</c:v>
                </c:pt>
                <c:pt idx="56">
                  <c:v>299469.68167450582</c:v>
                </c:pt>
                <c:pt idx="57">
                  <c:v>329416.64984195639</c:v>
                </c:pt>
                <c:pt idx="58">
                  <c:v>362358.31482615205</c:v>
                </c:pt>
                <c:pt idx="59">
                  <c:v>398594.14630876726</c:v>
                </c:pt>
              </c:numCache>
            </c:numRef>
          </c:val>
          <c:extLst>
            <c:ext xmlns:c16="http://schemas.microsoft.com/office/drawing/2014/chart" uri="{C3380CC4-5D6E-409C-BE32-E72D297353CC}">
              <c16:uniqueId val="{00000003-F4CB-4B80-BB4C-0F453673CEDE}"/>
            </c:ext>
          </c:extLst>
        </c:ser>
        <c:ser>
          <c:idx val="4"/>
          <c:order val="4"/>
          <c:tx>
            <c:strRef>
              <c:f>Rentabilité!$F$11</c:f>
              <c:strCache>
                <c:ptCount val="1"/>
                <c:pt idx="0">
                  <c:v>Gains projetés</c:v>
                </c:pt>
              </c:strCache>
            </c:strRef>
          </c:tx>
          <c:spPr>
            <a:solidFill>
              <a:srgbClr val="FF0000"/>
            </a:solidFill>
            <a:ln>
              <a:noFill/>
            </a:ln>
            <a:effectLst/>
          </c:spPr>
          <c:invertIfNegative val="0"/>
          <c:cat>
            <c:numRef>
              <c:f>Rentabilité!$A$12:$A$71</c:f>
              <c:numCache>
                <c:formatCode>mmm\-yy</c:formatCode>
                <c:ptCount val="60"/>
                <c:pt idx="0">
                  <c:v>47849</c:v>
                </c:pt>
                <c:pt idx="1">
                  <c:v>47880</c:v>
                </c:pt>
                <c:pt idx="2">
                  <c:v>47908</c:v>
                </c:pt>
                <c:pt idx="3">
                  <c:v>47939</c:v>
                </c:pt>
                <c:pt idx="4">
                  <c:v>47969</c:v>
                </c:pt>
                <c:pt idx="5">
                  <c:v>48000</c:v>
                </c:pt>
                <c:pt idx="6">
                  <c:v>48030</c:v>
                </c:pt>
                <c:pt idx="7">
                  <c:v>48061</c:v>
                </c:pt>
                <c:pt idx="8">
                  <c:v>48092</c:v>
                </c:pt>
                <c:pt idx="9">
                  <c:v>48122</c:v>
                </c:pt>
                <c:pt idx="10">
                  <c:v>48153</c:v>
                </c:pt>
                <c:pt idx="11">
                  <c:v>48183</c:v>
                </c:pt>
                <c:pt idx="12">
                  <c:v>48214</c:v>
                </c:pt>
                <c:pt idx="13">
                  <c:v>48245</c:v>
                </c:pt>
                <c:pt idx="14">
                  <c:v>48274</c:v>
                </c:pt>
                <c:pt idx="15">
                  <c:v>48305</c:v>
                </c:pt>
                <c:pt idx="16">
                  <c:v>48335</c:v>
                </c:pt>
                <c:pt idx="17">
                  <c:v>48366</c:v>
                </c:pt>
                <c:pt idx="18">
                  <c:v>48396</c:v>
                </c:pt>
                <c:pt idx="19">
                  <c:v>48427</c:v>
                </c:pt>
                <c:pt idx="20">
                  <c:v>48458</c:v>
                </c:pt>
                <c:pt idx="21">
                  <c:v>48488</c:v>
                </c:pt>
                <c:pt idx="22">
                  <c:v>48519</c:v>
                </c:pt>
                <c:pt idx="23">
                  <c:v>48549</c:v>
                </c:pt>
                <c:pt idx="24">
                  <c:v>48580</c:v>
                </c:pt>
                <c:pt idx="25">
                  <c:v>48611</c:v>
                </c:pt>
                <c:pt idx="26">
                  <c:v>48639</c:v>
                </c:pt>
                <c:pt idx="27">
                  <c:v>48670</c:v>
                </c:pt>
                <c:pt idx="28">
                  <c:v>48700</c:v>
                </c:pt>
                <c:pt idx="29">
                  <c:v>48731</c:v>
                </c:pt>
                <c:pt idx="30">
                  <c:v>48761</c:v>
                </c:pt>
                <c:pt idx="31">
                  <c:v>48792</c:v>
                </c:pt>
                <c:pt idx="32">
                  <c:v>48823</c:v>
                </c:pt>
                <c:pt idx="33">
                  <c:v>48853</c:v>
                </c:pt>
                <c:pt idx="34">
                  <c:v>48884</c:v>
                </c:pt>
                <c:pt idx="35">
                  <c:v>48914</c:v>
                </c:pt>
                <c:pt idx="36">
                  <c:v>48945</c:v>
                </c:pt>
                <c:pt idx="37">
                  <c:v>48976</c:v>
                </c:pt>
                <c:pt idx="38">
                  <c:v>49004</c:v>
                </c:pt>
                <c:pt idx="39">
                  <c:v>49035</c:v>
                </c:pt>
                <c:pt idx="40">
                  <c:v>49065</c:v>
                </c:pt>
                <c:pt idx="41">
                  <c:v>49096</c:v>
                </c:pt>
                <c:pt idx="42">
                  <c:v>49126</c:v>
                </c:pt>
                <c:pt idx="43">
                  <c:v>49157</c:v>
                </c:pt>
                <c:pt idx="44">
                  <c:v>49188</c:v>
                </c:pt>
                <c:pt idx="45">
                  <c:v>49218</c:v>
                </c:pt>
                <c:pt idx="46">
                  <c:v>49249</c:v>
                </c:pt>
                <c:pt idx="47">
                  <c:v>49279</c:v>
                </c:pt>
                <c:pt idx="48">
                  <c:v>49310</c:v>
                </c:pt>
                <c:pt idx="49">
                  <c:v>49341</c:v>
                </c:pt>
                <c:pt idx="50">
                  <c:v>49369</c:v>
                </c:pt>
                <c:pt idx="51">
                  <c:v>49400</c:v>
                </c:pt>
                <c:pt idx="52">
                  <c:v>49430</c:v>
                </c:pt>
                <c:pt idx="53">
                  <c:v>49461</c:v>
                </c:pt>
                <c:pt idx="54">
                  <c:v>49491</c:v>
                </c:pt>
                <c:pt idx="55">
                  <c:v>49522</c:v>
                </c:pt>
                <c:pt idx="56">
                  <c:v>49553</c:v>
                </c:pt>
                <c:pt idx="57">
                  <c:v>49583</c:v>
                </c:pt>
                <c:pt idx="58">
                  <c:v>49614</c:v>
                </c:pt>
                <c:pt idx="59">
                  <c:v>49644</c:v>
                </c:pt>
              </c:numCache>
            </c:numRef>
          </c:cat>
          <c:val>
            <c:numRef>
              <c:f>Rentabilité!$F$12:$F$71</c:f>
              <c:numCache>
                <c:formatCode>_("€"* #,##0.00_);_("€"* \(#,##0.00\);_("€"* "-"??_);_(@_)</c:formatCode>
                <c:ptCount val="60"/>
                <c:pt idx="0">
                  <c:v>37440</c:v>
                </c:pt>
                <c:pt idx="1">
                  <c:v>41184</c:v>
                </c:pt>
                <c:pt idx="2">
                  <c:v>45302.400000000001</c:v>
                </c:pt>
                <c:pt idx="3">
                  <c:v>49832.639999999999</c:v>
                </c:pt>
                <c:pt idx="4">
                  <c:v>54818.304000000004</c:v>
                </c:pt>
                <c:pt idx="5">
                  <c:v>60300.134400000003</c:v>
                </c:pt>
                <c:pt idx="6">
                  <c:v>66328.047839999999</c:v>
                </c:pt>
                <c:pt idx="7">
                  <c:v>72961.152623999995</c:v>
                </c:pt>
                <c:pt idx="8">
                  <c:v>80258.767886400004</c:v>
                </c:pt>
                <c:pt idx="9">
                  <c:v>88283.444675039995</c:v>
                </c:pt>
                <c:pt idx="10">
                  <c:v>97109.989142544</c:v>
                </c:pt>
                <c:pt idx="11">
                  <c:v>106822.48805679841</c:v>
                </c:pt>
                <c:pt idx="12">
                  <c:v>117505.33686247825</c:v>
                </c:pt>
                <c:pt idx="13">
                  <c:v>129255.27054872607</c:v>
                </c:pt>
                <c:pt idx="14">
                  <c:v>142178.39760359869</c:v>
                </c:pt>
                <c:pt idx="15">
                  <c:v>156396.23736395856</c:v>
                </c:pt>
                <c:pt idx="16">
                  <c:v>172036.7611003544</c:v>
                </c:pt>
                <c:pt idx="17">
                  <c:v>189240.43721038985</c:v>
                </c:pt>
                <c:pt idx="18">
                  <c:v>208166.28093142883</c:v>
                </c:pt>
                <c:pt idx="19">
                  <c:v>228979.90902457171</c:v>
                </c:pt>
                <c:pt idx="20">
                  <c:v>251877.59992702887</c:v>
                </c:pt>
                <c:pt idx="21">
                  <c:v>277065.35991973174</c:v>
                </c:pt>
                <c:pt idx="22">
                  <c:v>304773.99591170496</c:v>
                </c:pt>
                <c:pt idx="23">
                  <c:v>335250.19550287543</c:v>
                </c:pt>
                <c:pt idx="24">
                  <c:v>368774.61505316297</c:v>
                </c:pt>
                <c:pt idx="25">
                  <c:v>405652.97655847931</c:v>
                </c:pt>
                <c:pt idx="26">
                  <c:v>446219.17421432718</c:v>
                </c:pt>
                <c:pt idx="27">
                  <c:v>490838.39163575997</c:v>
                </c:pt>
                <c:pt idx="28">
                  <c:v>539922.23079933599</c:v>
                </c:pt>
                <c:pt idx="29">
                  <c:v>593916.85387926956</c:v>
                </c:pt>
                <c:pt idx="30">
                  <c:v>653306.13926719653</c:v>
                </c:pt>
                <c:pt idx="31">
                  <c:v>718638.85319391615</c:v>
                </c:pt>
                <c:pt idx="32">
                  <c:v>790501.83851330774</c:v>
                </c:pt>
                <c:pt idx="33">
                  <c:v>869550.22236463858</c:v>
                </c:pt>
                <c:pt idx="34">
                  <c:v>956507.64460110234</c:v>
                </c:pt>
                <c:pt idx="35">
                  <c:v>1052157.5090612127</c:v>
                </c:pt>
                <c:pt idx="36">
                  <c:v>1157373.2599673339</c:v>
                </c:pt>
                <c:pt idx="37">
                  <c:v>1273109.6859640672</c:v>
                </c:pt>
                <c:pt idx="38">
                  <c:v>1400421.2545604741</c:v>
                </c:pt>
                <c:pt idx="39">
                  <c:v>1540462.4800165214</c:v>
                </c:pt>
                <c:pt idx="40">
                  <c:v>1694509.3280181736</c:v>
                </c:pt>
                <c:pt idx="41">
                  <c:v>1863959.660819991</c:v>
                </c:pt>
                <c:pt idx="42">
                  <c:v>2050354.7269019899</c:v>
                </c:pt>
                <c:pt idx="43">
                  <c:v>2255388.6995921889</c:v>
                </c:pt>
                <c:pt idx="44">
                  <c:v>2480927.269551408</c:v>
                </c:pt>
                <c:pt idx="45">
                  <c:v>2729020.2965065488</c:v>
                </c:pt>
                <c:pt idx="46">
                  <c:v>3001923.5261572036</c:v>
                </c:pt>
                <c:pt idx="47">
                  <c:v>3302114.3787729242</c:v>
                </c:pt>
                <c:pt idx="48">
                  <c:v>3632325.8166502165</c:v>
                </c:pt>
                <c:pt idx="49">
                  <c:v>3995559.2983152382</c:v>
                </c:pt>
                <c:pt idx="50">
                  <c:v>4395115.8281467622</c:v>
                </c:pt>
                <c:pt idx="51">
                  <c:v>4834627.1109614382</c:v>
                </c:pt>
                <c:pt idx="52">
                  <c:v>5318089.8220575815</c:v>
                </c:pt>
                <c:pt idx="53">
                  <c:v>5849897.0042633405</c:v>
                </c:pt>
                <c:pt idx="54">
                  <c:v>6434887.6046896745</c:v>
                </c:pt>
                <c:pt idx="55">
                  <c:v>7078375.1651586415</c:v>
                </c:pt>
                <c:pt idx="56">
                  <c:v>7786212.6816745056</c:v>
                </c:pt>
                <c:pt idx="57">
                  <c:v>8564833.6498419568</c:v>
                </c:pt>
                <c:pt idx="58">
                  <c:v>9421317.3148261514</c:v>
                </c:pt>
                <c:pt idx="59">
                  <c:v>10363448.146308767</c:v>
                </c:pt>
              </c:numCache>
            </c:numRef>
          </c:val>
          <c:extLst>
            <c:ext xmlns:c16="http://schemas.microsoft.com/office/drawing/2014/chart" uri="{C3380CC4-5D6E-409C-BE32-E72D297353CC}">
              <c16:uniqueId val="{00000004-F4CB-4B80-BB4C-0F453673CEDE}"/>
            </c:ext>
          </c:extLst>
        </c:ser>
        <c:dLbls>
          <c:showLegendKey val="0"/>
          <c:showVal val="0"/>
          <c:showCatName val="0"/>
          <c:showSerName val="0"/>
          <c:showPercent val="0"/>
          <c:showBubbleSize val="0"/>
        </c:dLbls>
        <c:gapWidth val="50"/>
        <c:overlap val="100"/>
        <c:axId val="725852879"/>
        <c:axId val="725865359"/>
        <c:extLst>
          <c:ext xmlns:c15="http://schemas.microsoft.com/office/drawing/2012/chart" uri="{02D57815-91ED-43cb-92C2-25804820EDAC}">
            <c15:filteredBarSeries>
              <c15:ser>
                <c:idx val="0"/>
                <c:order val="0"/>
                <c:tx>
                  <c:strRef>
                    <c:extLst>
                      <c:ext uri="{02D57815-91ED-43cb-92C2-25804820EDAC}">
                        <c15:formulaRef>
                          <c15:sqref>Rentabilité!$B$11</c15:sqref>
                        </c15:formulaRef>
                      </c:ext>
                    </c:extLst>
                    <c:strCache>
                      <c:ptCount val="1"/>
                      <c:pt idx="0">
                        <c:v>Nbr de visiteurs</c:v>
                      </c:pt>
                    </c:strCache>
                  </c:strRef>
                </c:tx>
                <c:spPr>
                  <a:solidFill>
                    <a:schemeClr val="accent1">
                      <a:alpha val="70000"/>
                    </a:schemeClr>
                  </a:solidFill>
                  <a:ln>
                    <a:noFill/>
                  </a:ln>
                  <a:effectLst/>
                </c:spPr>
                <c:invertIfNegative val="0"/>
                <c:cat>
                  <c:numRef>
                    <c:extLst>
                      <c:ext uri="{02D57815-91ED-43cb-92C2-25804820EDAC}">
                        <c15:formulaRef>
                          <c15:sqref>Rentabilité!$A$12:$A$71</c15:sqref>
                        </c15:formulaRef>
                      </c:ext>
                    </c:extLst>
                    <c:numCache>
                      <c:formatCode>mmm\-yy</c:formatCode>
                      <c:ptCount val="60"/>
                      <c:pt idx="0">
                        <c:v>47849</c:v>
                      </c:pt>
                      <c:pt idx="1">
                        <c:v>47880</c:v>
                      </c:pt>
                      <c:pt idx="2">
                        <c:v>47908</c:v>
                      </c:pt>
                      <c:pt idx="3">
                        <c:v>47939</c:v>
                      </c:pt>
                      <c:pt idx="4">
                        <c:v>47969</c:v>
                      </c:pt>
                      <c:pt idx="5">
                        <c:v>48000</c:v>
                      </c:pt>
                      <c:pt idx="6">
                        <c:v>48030</c:v>
                      </c:pt>
                      <c:pt idx="7">
                        <c:v>48061</c:v>
                      </c:pt>
                      <c:pt idx="8">
                        <c:v>48092</c:v>
                      </c:pt>
                      <c:pt idx="9">
                        <c:v>48122</c:v>
                      </c:pt>
                      <c:pt idx="10">
                        <c:v>48153</c:v>
                      </c:pt>
                      <c:pt idx="11">
                        <c:v>48183</c:v>
                      </c:pt>
                      <c:pt idx="12">
                        <c:v>48214</c:v>
                      </c:pt>
                      <c:pt idx="13">
                        <c:v>48245</c:v>
                      </c:pt>
                      <c:pt idx="14">
                        <c:v>48274</c:v>
                      </c:pt>
                      <c:pt idx="15">
                        <c:v>48305</c:v>
                      </c:pt>
                      <c:pt idx="16">
                        <c:v>48335</c:v>
                      </c:pt>
                      <c:pt idx="17">
                        <c:v>48366</c:v>
                      </c:pt>
                      <c:pt idx="18">
                        <c:v>48396</c:v>
                      </c:pt>
                      <c:pt idx="19">
                        <c:v>48427</c:v>
                      </c:pt>
                      <c:pt idx="20">
                        <c:v>48458</c:v>
                      </c:pt>
                      <c:pt idx="21">
                        <c:v>48488</c:v>
                      </c:pt>
                      <c:pt idx="22">
                        <c:v>48519</c:v>
                      </c:pt>
                      <c:pt idx="23">
                        <c:v>48549</c:v>
                      </c:pt>
                      <c:pt idx="24">
                        <c:v>48580</c:v>
                      </c:pt>
                      <c:pt idx="25">
                        <c:v>48611</c:v>
                      </c:pt>
                      <c:pt idx="26">
                        <c:v>48639</c:v>
                      </c:pt>
                      <c:pt idx="27">
                        <c:v>48670</c:v>
                      </c:pt>
                      <c:pt idx="28">
                        <c:v>48700</c:v>
                      </c:pt>
                      <c:pt idx="29">
                        <c:v>48731</c:v>
                      </c:pt>
                      <c:pt idx="30">
                        <c:v>48761</c:v>
                      </c:pt>
                      <c:pt idx="31">
                        <c:v>48792</c:v>
                      </c:pt>
                      <c:pt idx="32">
                        <c:v>48823</c:v>
                      </c:pt>
                      <c:pt idx="33">
                        <c:v>48853</c:v>
                      </c:pt>
                      <c:pt idx="34">
                        <c:v>48884</c:v>
                      </c:pt>
                      <c:pt idx="35">
                        <c:v>48914</c:v>
                      </c:pt>
                      <c:pt idx="36">
                        <c:v>48945</c:v>
                      </c:pt>
                      <c:pt idx="37">
                        <c:v>48976</c:v>
                      </c:pt>
                      <c:pt idx="38">
                        <c:v>49004</c:v>
                      </c:pt>
                      <c:pt idx="39">
                        <c:v>49035</c:v>
                      </c:pt>
                      <c:pt idx="40">
                        <c:v>49065</c:v>
                      </c:pt>
                      <c:pt idx="41">
                        <c:v>49096</c:v>
                      </c:pt>
                      <c:pt idx="42">
                        <c:v>49126</c:v>
                      </c:pt>
                      <c:pt idx="43">
                        <c:v>49157</c:v>
                      </c:pt>
                      <c:pt idx="44">
                        <c:v>49188</c:v>
                      </c:pt>
                      <c:pt idx="45">
                        <c:v>49218</c:v>
                      </c:pt>
                      <c:pt idx="46">
                        <c:v>49249</c:v>
                      </c:pt>
                      <c:pt idx="47">
                        <c:v>49279</c:v>
                      </c:pt>
                      <c:pt idx="48">
                        <c:v>49310</c:v>
                      </c:pt>
                      <c:pt idx="49">
                        <c:v>49341</c:v>
                      </c:pt>
                      <c:pt idx="50">
                        <c:v>49369</c:v>
                      </c:pt>
                      <c:pt idx="51">
                        <c:v>49400</c:v>
                      </c:pt>
                      <c:pt idx="52">
                        <c:v>49430</c:v>
                      </c:pt>
                      <c:pt idx="53">
                        <c:v>49461</c:v>
                      </c:pt>
                      <c:pt idx="54">
                        <c:v>49491</c:v>
                      </c:pt>
                      <c:pt idx="55">
                        <c:v>49522</c:v>
                      </c:pt>
                      <c:pt idx="56">
                        <c:v>49553</c:v>
                      </c:pt>
                      <c:pt idx="57">
                        <c:v>49583</c:v>
                      </c:pt>
                      <c:pt idx="58">
                        <c:v>49614</c:v>
                      </c:pt>
                      <c:pt idx="59">
                        <c:v>49644</c:v>
                      </c:pt>
                    </c:numCache>
                  </c:numRef>
                </c:cat>
                <c:val>
                  <c:numRef>
                    <c:extLst>
                      <c:ext uri="{02D57815-91ED-43cb-92C2-25804820EDAC}">
                        <c15:formulaRef>
                          <c15:sqref>Rentabilité!$B$12:$B$71</c15:sqref>
                        </c15:formulaRef>
                      </c:ext>
                    </c:extLst>
                    <c:numCache>
                      <c:formatCode>_-* #\ ##0_-;\-* #\ ##0_-;_-* "-"??_-;_-@_-</c:formatCode>
                      <c:ptCount val="60"/>
                      <c:pt idx="0">
                        <c:v>120000</c:v>
                      </c:pt>
                      <c:pt idx="1">
                        <c:v>132000</c:v>
                      </c:pt>
                      <c:pt idx="2">
                        <c:v>145200</c:v>
                      </c:pt>
                      <c:pt idx="3">
                        <c:v>159720</c:v>
                      </c:pt>
                      <c:pt idx="4">
                        <c:v>175692</c:v>
                      </c:pt>
                      <c:pt idx="5">
                        <c:v>193261.2</c:v>
                      </c:pt>
                      <c:pt idx="6">
                        <c:v>212587.32000000004</c:v>
                      </c:pt>
                      <c:pt idx="7">
                        <c:v>233846.05200000005</c:v>
                      </c:pt>
                      <c:pt idx="8">
                        <c:v>257230.65720000007</c:v>
                      </c:pt>
                      <c:pt idx="9">
                        <c:v>282953.72292000009</c:v>
                      </c:pt>
                      <c:pt idx="10">
                        <c:v>311249.09521200013</c:v>
                      </c:pt>
                      <c:pt idx="11">
                        <c:v>342374.00473320019</c:v>
                      </c:pt>
                      <c:pt idx="12">
                        <c:v>376611.40520652023</c:v>
                      </c:pt>
                      <c:pt idx="13">
                        <c:v>414272.54572717228</c:v>
                      </c:pt>
                      <c:pt idx="14">
                        <c:v>455699.80029988952</c:v>
                      </c:pt>
                      <c:pt idx="15">
                        <c:v>501269.7803298785</c:v>
                      </c:pt>
                      <c:pt idx="16">
                        <c:v>551396.75836286636</c:v>
                      </c:pt>
                      <c:pt idx="17">
                        <c:v>606536.4341991531</c:v>
                      </c:pt>
                      <c:pt idx="18">
                        <c:v>667190.07761906844</c:v>
                      </c:pt>
                      <c:pt idx="19">
                        <c:v>733909.08538097539</c:v>
                      </c:pt>
                      <c:pt idx="20">
                        <c:v>807299.99391907302</c:v>
                      </c:pt>
                      <c:pt idx="21">
                        <c:v>888029.99331098038</c:v>
                      </c:pt>
                      <c:pt idx="22">
                        <c:v>976832.99264207855</c:v>
                      </c:pt>
                      <c:pt idx="23">
                        <c:v>1074516.2919062865</c:v>
                      </c:pt>
                      <c:pt idx="24">
                        <c:v>1181967.9210969151</c:v>
                      </c:pt>
                      <c:pt idx="25">
                        <c:v>1300164.7132066067</c:v>
                      </c:pt>
                      <c:pt idx="26">
                        <c:v>1430181.1845272675</c:v>
                      </c:pt>
                      <c:pt idx="27">
                        <c:v>1573199.3029799943</c:v>
                      </c:pt>
                      <c:pt idx="28">
                        <c:v>1730519.233277994</c:v>
                      </c:pt>
                      <c:pt idx="29">
                        <c:v>1903571.1566057936</c:v>
                      </c:pt>
                      <c:pt idx="30">
                        <c:v>2093928.2722663733</c:v>
                      </c:pt>
                      <c:pt idx="31">
                        <c:v>2303321.0994930109</c:v>
                      </c:pt>
                      <c:pt idx="32">
                        <c:v>2533653.2094423124</c:v>
                      </c:pt>
                      <c:pt idx="33">
                        <c:v>2787018.5303865438</c:v>
                      </c:pt>
                      <c:pt idx="34">
                        <c:v>3065720.3834251985</c:v>
                      </c:pt>
                      <c:pt idx="35">
                        <c:v>3372292.4217677186</c:v>
                      </c:pt>
                      <c:pt idx="36">
                        <c:v>3709521.6639444907</c:v>
                      </c:pt>
                      <c:pt idx="37">
                        <c:v>4080473.83033894</c:v>
                      </c:pt>
                      <c:pt idx="38">
                        <c:v>4488521.213372834</c:v>
                      </c:pt>
                      <c:pt idx="39">
                        <c:v>4937373.3347101174</c:v>
                      </c:pt>
                      <c:pt idx="40">
                        <c:v>5431110.6681811297</c:v>
                      </c:pt>
                      <c:pt idx="41">
                        <c:v>5974221.7349992432</c:v>
                      </c:pt>
                      <c:pt idx="42">
                        <c:v>6571643.9084991682</c:v>
                      </c:pt>
                      <c:pt idx="43">
                        <c:v>7228808.2993490854</c:v>
                      </c:pt>
                      <c:pt idx="44">
                        <c:v>7951689.1292839944</c:v>
                      </c:pt>
                      <c:pt idx="45">
                        <c:v>8746858.042212395</c:v>
                      </c:pt>
                      <c:pt idx="46">
                        <c:v>9621543.8464336358</c:v>
                      </c:pt>
                      <c:pt idx="47">
                        <c:v>10583698.231077</c:v>
                      </c:pt>
                      <c:pt idx="48">
                        <c:v>11642068.054184701</c:v>
                      </c:pt>
                      <c:pt idx="49">
                        <c:v>12806274.859603172</c:v>
                      </c:pt>
                      <c:pt idx="50">
                        <c:v>14086902.34556349</c:v>
                      </c:pt>
                      <c:pt idx="51">
                        <c:v>15495592.580119841</c:v>
                      </c:pt>
                      <c:pt idx="52">
                        <c:v>17045151.838131826</c:v>
                      </c:pt>
                      <c:pt idx="53">
                        <c:v>18749667.021945011</c:v>
                      </c:pt>
                      <c:pt idx="54">
                        <c:v>20624633.724139515</c:v>
                      </c:pt>
                      <c:pt idx="55">
                        <c:v>22687097.096553467</c:v>
                      </c:pt>
                      <c:pt idx="56">
                        <c:v>24955806.806208815</c:v>
                      </c:pt>
                      <c:pt idx="57">
                        <c:v>27451387.486829698</c:v>
                      </c:pt>
                      <c:pt idx="58">
                        <c:v>30196526.23551267</c:v>
                      </c:pt>
                      <c:pt idx="59">
                        <c:v>33216178.859063938</c:v>
                      </c:pt>
                    </c:numCache>
                  </c:numRef>
                </c:val>
                <c:extLst>
                  <c:ext xmlns:c16="http://schemas.microsoft.com/office/drawing/2014/chart" uri="{C3380CC4-5D6E-409C-BE32-E72D297353CC}">
                    <c16:uniqueId val="{00000000-F4CB-4B80-BB4C-0F453673CEDE}"/>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Rentabilité!$C$11</c15:sqref>
                        </c15:formulaRef>
                      </c:ext>
                    </c:extLst>
                    <c:strCache>
                      <c:ptCount val="1"/>
                      <c:pt idx="0">
                        <c:v>Nbr de clients actifs</c:v>
                      </c:pt>
                    </c:strCache>
                  </c:strRef>
                </c:tx>
                <c:spPr>
                  <a:solidFill>
                    <a:schemeClr val="accent2">
                      <a:alpha val="70000"/>
                    </a:schemeClr>
                  </a:solidFill>
                  <a:ln>
                    <a:noFill/>
                  </a:ln>
                  <a:effectLst/>
                </c:spPr>
                <c:invertIfNegative val="0"/>
                <c:cat>
                  <c:numRef>
                    <c:extLst xmlns:c15="http://schemas.microsoft.com/office/drawing/2012/chart">
                      <c:ext xmlns:c15="http://schemas.microsoft.com/office/drawing/2012/chart" uri="{02D57815-91ED-43cb-92C2-25804820EDAC}">
                        <c15:formulaRef>
                          <c15:sqref>Rentabilité!$A$12:$A$71</c15:sqref>
                        </c15:formulaRef>
                      </c:ext>
                    </c:extLst>
                    <c:numCache>
                      <c:formatCode>mmm\-yy</c:formatCode>
                      <c:ptCount val="60"/>
                      <c:pt idx="0">
                        <c:v>47849</c:v>
                      </c:pt>
                      <c:pt idx="1">
                        <c:v>47880</c:v>
                      </c:pt>
                      <c:pt idx="2">
                        <c:v>47908</c:v>
                      </c:pt>
                      <c:pt idx="3">
                        <c:v>47939</c:v>
                      </c:pt>
                      <c:pt idx="4">
                        <c:v>47969</c:v>
                      </c:pt>
                      <c:pt idx="5">
                        <c:v>48000</c:v>
                      </c:pt>
                      <c:pt idx="6">
                        <c:v>48030</c:v>
                      </c:pt>
                      <c:pt idx="7">
                        <c:v>48061</c:v>
                      </c:pt>
                      <c:pt idx="8">
                        <c:v>48092</c:v>
                      </c:pt>
                      <c:pt idx="9">
                        <c:v>48122</c:v>
                      </c:pt>
                      <c:pt idx="10">
                        <c:v>48153</c:v>
                      </c:pt>
                      <c:pt idx="11">
                        <c:v>48183</c:v>
                      </c:pt>
                      <c:pt idx="12">
                        <c:v>48214</c:v>
                      </c:pt>
                      <c:pt idx="13">
                        <c:v>48245</c:v>
                      </c:pt>
                      <c:pt idx="14">
                        <c:v>48274</c:v>
                      </c:pt>
                      <c:pt idx="15">
                        <c:v>48305</c:v>
                      </c:pt>
                      <c:pt idx="16">
                        <c:v>48335</c:v>
                      </c:pt>
                      <c:pt idx="17">
                        <c:v>48366</c:v>
                      </c:pt>
                      <c:pt idx="18">
                        <c:v>48396</c:v>
                      </c:pt>
                      <c:pt idx="19">
                        <c:v>48427</c:v>
                      </c:pt>
                      <c:pt idx="20">
                        <c:v>48458</c:v>
                      </c:pt>
                      <c:pt idx="21">
                        <c:v>48488</c:v>
                      </c:pt>
                      <c:pt idx="22">
                        <c:v>48519</c:v>
                      </c:pt>
                      <c:pt idx="23">
                        <c:v>48549</c:v>
                      </c:pt>
                      <c:pt idx="24">
                        <c:v>48580</c:v>
                      </c:pt>
                      <c:pt idx="25">
                        <c:v>48611</c:v>
                      </c:pt>
                      <c:pt idx="26">
                        <c:v>48639</c:v>
                      </c:pt>
                      <c:pt idx="27">
                        <c:v>48670</c:v>
                      </c:pt>
                      <c:pt idx="28">
                        <c:v>48700</c:v>
                      </c:pt>
                      <c:pt idx="29">
                        <c:v>48731</c:v>
                      </c:pt>
                      <c:pt idx="30">
                        <c:v>48761</c:v>
                      </c:pt>
                      <c:pt idx="31">
                        <c:v>48792</c:v>
                      </c:pt>
                      <c:pt idx="32">
                        <c:v>48823</c:v>
                      </c:pt>
                      <c:pt idx="33">
                        <c:v>48853</c:v>
                      </c:pt>
                      <c:pt idx="34">
                        <c:v>48884</c:v>
                      </c:pt>
                      <c:pt idx="35">
                        <c:v>48914</c:v>
                      </c:pt>
                      <c:pt idx="36">
                        <c:v>48945</c:v>
                      </c:pt>
                      <c:pt idx="37">
                        <c:v>48976</c:v>
                      </c:pt>
                      <c:pt idx="38">
                        <c:v>49004</c:v>
                      </c:pt>
                      <c:pt idx="39">
                        <c:v>49035</c:v>
                      </c:pt>
                      <c:pt idx="40">
                        <c:v>49065</c:v>
                      </c:pt>
                      <c:pt idx="41">
                        <c:v>49096</c:v>
                      </c:pt>
                      <c:pt idx="42">
                        <c:v>49126</c:v>
                      </c:pt>
                      <c:pt idx="43">
                        <c:v>49157</c:v>
                      </c:pt>
                      <c:pt idx="44">
                        <c:v>49188</c:v>
                      </c:pt>
                      <c:pt idx="45">
                        <c:v>49218</c:v>
                      </c:pt>
                      <c:pt idx="46">
                        <c:v>49249</c:v>
                      </c:pt>
                      <c:pt idx="47">
                        <c:v>49279</c:v>
                      </c:pt>
                      <c:pt idx="48">
                        <c:v>49310</c:v>
                      </c:pt>
                      <c:pt idx="49">
                        <c:v>49341</c:v>
                      </c:pt>
                      <c:pt idx="50">
                        <c:v>49369</c:v>
                      </c:pt>
                      <c:pt idx="51">
                        <c:v>49400</c:v>
                      </c:pt>
                      <c:pt idx="52">
                        <c:v>49430</c:v>
                      </c:pt>
                      <c:pt idx="53">
                        <c:v>49461</c:v>
                      </c:pt>
                      <c:pt idx="54">
                        <c:v>49491</c:v>
                      </c:pt>
                      <c:pt idx="55">
                        <c:v>49522</c:v>
                      </c:pt>
                      <c:pt idx="56">
                        <c:v>49553</c:v>
                      </c:pt>
                      <c:pt idx="57">
                        <c:v>49583</c:v>
                      </c:pt>
                      <c:pt idx="58">
                        <c:v>49614</c:v>
                      </c:pt>
                      <c:pt idx="59">
                        <c:v>49644</c:v>
                      </c:pt>
                    </c:numCache>
                  </c:numRef>
                </c:cat>
                <c:val>
                  <c:numRef>
                    <c:extLst xmlns:c15="http://schemas.microsoft.com/office/drawing/2012/chart">
                      <c:ext xmlns:c15="http://schemas.microsoft.com/office/drawing/2012/chart" uri="{02D57815-91ED-43cb-92C2-25804820EDAC}">
                        <c15:formulaRef>
                          <c15:sqref>Rentabilité!$C$12:$C$71</c15:sqref>
                        </c15:formulaRef>
                      </c:ext>
                    </c:extLst>
                    <c:numCache>
                      <c:formatCode>_-* #\ ##0_-;\-* #\ ##0_-;_-* "-"??_-;_-@_-</c:formatCode>
                      <c:ptCount val="60"/>
                      <c:pt idx="0">
                        <c:v>12000</c:v>
                      </c:pt>
                      <c:pt idx="1">
                        <c:v>13200</c:v>
                      </c:pt>
                      <c:pt idx="2">
                        <c:v>14520</c:v>
                      </c:pt>
                      <c:pt idx="3">
                        <c:v>15972</c:v>
                      </c:pt>
                      <c:pt idx="4">
                        <c:v>17570</c:v>
                      </c:pt>
                      <c:pt idx="5">
                        <c:v>19327</c:v>
                      </c:pt>
                      <c:pt idx="6">
                        <c:v>21259</c:v>
                      </c:pt>
                      <c:pt idx="7">
                        <c:v>23385</c:v>
                      </c:pt>
                      <c:pt idx="8">
                        <c:v>25724</c:v>
                      </c:pt>
                      <c:pt idx="9">
                        <c:v>28296</c:v>
                      </c:pt>
                      <c:pt idx="10">
                        <c:v>31125</c:v>
                      </c:pt>
                      <c:pt idx="11">
                        <c:v>34238</c:v>
                      </c:pt>
                      <c:pt idx="12">
                        <c:v>37662</c:v>
                      </c:pt>
                      <c:pt idx="13">
                        <c:v>41428</c:v>
                      </c:pt>
                      <c:pt idx="14">
                        <c:v>45570</c:v>
                      </c:pt>
                      <c:pt idx="15">
                        <c:v>50127</c:v>
                      </c:pt>
                      <c:pt idx="16">
                        <c:v>55140</c:v>
                      </c:pt>
                      <c:pt idx="17">
                        <c:v>60654</c:v>
                      </c:pt>
                      <c:pt idx="18">
                        <c:v>66720</c:v>
                      </c:pt>
                      <c:pt idx="19">
                        <c:v>73391</c:v>
                      </c:pt>
                      <c:pt idx="20">
                        <c:v>80730</c:v>
                      </c:pt>
                      <c:pt idx="21">
                        <c:v>88803</c:v>
                      </c:pt>
                      <c:pt idx="22">
                        <c:v>97684</c:v>
                      </c:pt>
                      <c:pt idx="23">
                        <c:v>107452</c:v>
                      </c:pt>
                      <c:pt idx="24">
                        <c:v>118197</c:v>
                      </c:pt>
                      <c:pt idx="25">
                        <c:v>130017</c:v>
                      </c:pt>
                      <c:pt idx="26">
                        <c:v>143019</c:v>
                      </c:pt>
                      <c:pt idx="27">
                        <c:v>157320</c:v>
                      </c:pt>
                      <c:pt idx="28">
                        <c:v>173052</c:v>
                      </c:pt>
                      <c:pt idx="29">
                        <c:v>190358</c:v>
                      </c:pt>
                      <c:pt idx="30">
                        <c:v>209393</c:v>
                      </c:pt>
                      <c:pt idx="31">
                        <c:v>230333</c:v>
                      </c:pt>
                      <c:pt idx="32">
                        <c:v>253366</c:v>
                      </c:pt>
                      <c:pt idx="33">
                        <c:v>278702</c:v>
                      </c:pt>
                      <c:pt idx="34">
                        <c:v>306573</c:v>
                      </c:pt>
                      <c:pt idx="35">
                        <c:v>337230</c:v>
                      </c:pt>
                      <c:pt idx="36">
                        <c:v>370953</c:v>
                      </c:pt>
                      <c:pt idx="37">
                        <c:v>408048</c:v>
                      </c:pt>
                      <c:pt idx="38">
                        <c:v>448853</c:v>
                      </c:pt>
                      <c:pt idx="39">
                        <c:v>493738</c:v>
                      </c:pt>
                      <c:pt idx="40">
                        <c:v>543112</c:v>
                      </c:pt>
                      <c:pt idx="41">
                        <c:v>597423</c:v>
                      </c:pt>
                      <c:pt idx="42">
                        <c:v>657165</c:v>
                      </c:pt>
                      <c:pt idx="43">
                        <c:v>722881</c:v>
                      </c:pt>
                      <c:pt idx="44">
                        <c:v>795169</c:v>
                      </c:pt>
                      <c:pt idx="45">
                        <c:v>874686</c:v>
                      </c:pt>
                      <c:pt idx="46">
                        <c:v>962155</c:v>
                      </c:pt>
                      <c:pt idx="47">
                        <c:v>1058370</c:v>
                      </c:pt>
                      <c:pt idx="48">
                        <c:v>1164207</c:v>
                      </c:pt>
                      <c:pt idx="49">
                        <c:v>1280628</c:v>
                      </c:pt>
                      <c:pt idx="50">
                        <c:v>1408691</c:v>
                      </c:pt>
                      <c:pt idx="51">
                        <c:v>1549560</c:v>
                      </c:pt>
                      <c:pt idx="52">
                        <c:v>1704516</c:v>
                      </c:pt>
                      <c:pt idx="53">
                        <c:v>1874967</c:v>
                      </c:pt>
                      <c:pt idx="54">
                        <c:v>2062464</c:v>
                      </c:pt>
                      <c:pt idx="55">
                        <c:v>2268710</c:v>
                      </c:pt>
                      <c:pt idx="56">
                        <c:v>2495581</c:v>
                      </c:pt>
                      <c:pt idx="57">
                        <c:v>2745139</c:v>
                      </c:pt>
                      <c:pt idx="58">
                        <c:v>3019653</c:v>
                      </c:pt>
                      <c:pt idx="59">
                        <c:v>3321618</c:v>
                      </c:pt>
                    </c:numCache>
                  </c:numRef>
                </c:val>
                <c:extLst xmlns:c15="http://schemas.microsoft.com/office/drawing/2012/chart">
                  <c:ext xmlns:c16="http://schemas.microsoft.com/office/drawing/2014/chart" uri="{C3380CC4-5D6E-409C-BE32-E72D297353CC}">
                    <c16:uniqueId val="{00000001-F4CB-4B80-BB4C-0F453673CEDE}"/>
                  </c:ext>
                </c:extLst>
              </c15:ser>
            </c15:filteredBarSeries>
          </c:ext>
        </c:extLst>
      </c:barChart>
      <c:dateAx>
        <c:axId val="725852879"/>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fr-FR"/>
                  <a:t>Mois/année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fr-FR"/>
            </a:p>
          </c:txPr>
        </c:title>
        <c:numFmt formatCode="mmm\-yy" sourceLinked="1"/>
        <c:majorTickMark val="out"/>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25865359"/>
        <c:crosses val="autoZero"/>
        <c:auto val="1"/>
        <c:lblOffset val="100"/>
        <c:baseTimeUnit val="months"/>
      </c:dateAx>
      <c:valAx>
        <c:axId val="725865359"/>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fr-FR"/>
                  <a:t>Gains</a:t>
                </a:r>
                <a:r>
                  <a:rPr lang="fr-FR" baseline="0"/>
                  <a:t> (EUR €)</a:t>
                </a:r>
                <a:endParaRPr lang="fr-F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fr-FR"/>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258528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Bénéfices en Euro</a:t>
            </a:r>
            <a:r>
              <a:rPr lang="en-US" baseline="0"/>
              <a:t> par mois/années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8"/>
          <c:order val="8"/>
          <c:tx>
            <c:strRef>
              <c:f>Rentabilité!$J$76</c:f>
              <c:strCache>
                <c:ptCount val="1"/>
                <c:pt idx="0">
                  <c:v>Bénéfices</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f>Rentabilité!$A$77:$A$196</c:f>
              <c:numCache>
                <c:formatCode>mmm\-yy</c:formatCode>
                <c:ptCount val="120"/>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pt idx="48">
                  <c:v>47484</c:v>
                </c:pt>
                <c:pt idx="49">
                  <c:v>47515</c:v>
                </c:pt>
                <c:pt idx="50">
                  <c:v>47543</c:v>
                </c:pt>
                <c:pt idx="51">
                  <c:v>47574</c:v>
                </c:pt>
                <c:pt idx="52">
                  <c:v>47604</c:v>
                </c:pt>
                <c:pt idx="53">
                  <c:v>47635</c:v>
                </c:pt>
                <c:pt idx="54">
                  <c:v>47665</c:v>
                </c:pt>
                <c:pt idx="55">
                  <c:v>47696</c:v>
                </c:pt>
                <c:pt idx="56">
                  <c:v>47727</c:v>
                </c:pt>
                <c:pt idx="57">
                  <c:v>47757</c:v>
                </c:pt>
                <c:pt idx="58">
                  <c:v>47788</c:v>
                </c:pt>
                <c:pt idx="59">
                  <c:v>47818</c:v>
                </c:pt>
                <c:pt idx="60">
                  <c:v>47849</c:v>
                </c:pt>
                <c:pt idx="61">
                  <c:v>47880</c:v>
                </c:pt>
                <c:pt idx="62">
                  <c:v>47908</c:v>
                </c:pt>
                <c:pt idx="63">
                  <c:v>47939</c:v>
                </c:pt>
                <c:pt idx="64">
                  <c:v>47969</c:v>
                </c:pt>
                <c:pt idx="65">
                  <c:v>48000</c:v>
                </c:pt>
                <c:pt idx="66">
                  <c:v>48030</c:v>
                </c:pt>
                <c:pt idx="67">
                  <c:v>48061</c:v>
                </c:pt>
                <c:pt idx="68">
                  <c:v>48092</c:v>
                </c:pt>
                <c:pt idx="69">
                  <c:v>48122</c:v>
                </c:pt>
                <c:pt idx="70">
                  <c:v>48153</c:v>
                </c:pt>
                <c:pt idx="71">
                  <c:v>48183</c:v>
                </c:pt>
                <c:pt idx="72">
                  <c:v>48214</c:v>
                </c:pt>
                <c:pt idx="73">
                  <c:v>48245</c:v>
                </c:pt>
                <c:pt idx="74">
                  <c:v>48274</c:v>
                </c:pt>
                <c:pt idx="75">
                  <c:v>48305</c:v>
                </c:pt>
                <c:pt idx="76">
                  <c:v>48335</c:v>
                </c:pt>
                <c:pt idx="77">
                  <c:v>48366</c:v>
                </c:pt>
                <c:pt idx="78">
                  <c:v>48396</c:v>
                </c:pt>
                <c:pt idx="79">
                  <c:v>48427</c:v>
                </c:pt>
                <c:pt idx="80">
                  <c:v>48458</c:v>
                </c:pt>
                <c:pt idx="81">
                  <c:v>48488</c:v>
                </c:pt>
                <c:pt idx="82">
                  <c:v>48519</c:v>
                </c:pt>
                <c:pt idx="83">
                  <c:v>48549</c:v>
                </c:pt>
                <c:pt idx="84">
                  <c:v>48580</c:v>
                </c:pt>
                <c:pt idx="85">
                  <c:v>48611</c:v>
                </c:pt>
                <c:pt idx="86">
                  <c:v>48639</c:v>
                </c:pt>
                <c:pt idx="87">
                  <c:v>48670</c:v>
                </c:pt>
                <c:pt idx="88">
                  <c:v>48700</c:v>
                </c:pt>
                <c:pt idx="89">
                  <c:v>48731</c:v>
                </c:pt>
                <c:pt idx="90">
                  <c:v>48761</c:v>
                </c:pt>
                <c:pt idx="91">
                  <c:v>48792</c:v>
                </c:pt>
                <c:pt idx="92">
                  <c:v>48823</c:v>
                </c:pt>
                <c:pt idx="93">
                  <c:v>48853</c:v>
                </c:pt>
                <c:pt idx="94">
                  <c:v>48884</c:v>
                </c:pt>
                <c:pt idx="95">
                  <c:v>48914</c:v>
                </c:pt>
                <c:pt idx="96">
                  <c:v>48945</c:v>
                </c:pt>
                <c:pt idx="97">
                  <c:v>48976</c:v>
                </c:pt>
                <c:pt idx="98">
                  <c:v>49004</c:v>
                </c:pt>
                <c:pt idx="99">
                  <c:v>49035</c:v>
                </c:pt>
                <c:pt idx="100">
                  <c:v>49065</c:v>
                </c:pt>
                <c:pt idx="101">
                  <c:v>49096</c:v>
                </c:pt>
                <c:pt idx="102">
                  <c:v>49126</c:v>
                </c:pt>
                <c:pt idx="103">
                  <c:v>49157</c:v>
                </c:pt>
                <c:pt idx="104">
                  <c:v>49188</c:v>
                </c:pt>
                <c:pt idx="105">
                  <c:v>49218</c:v>
                </c:pt>
                <c:pt idx="106">
                  <c:v>49249</c:v>
                </c:pt>
                <c:pt idx="107">
                  <c:v>49279</c:v>
                </c:pt>
                <c:pt idx="108">
                  <c:v>49310</c:v>
                </c:pt>
                <c:pt idx="109">
                  <c:v>49341</c:v>
                </c:pt>
                <c:pt idx="110">
                  <c:v>49369</c:v>
                </c:pt>
                <c:pt idx="111">
                  <c:v>49400</c:v>
                </c:pt>
                <c:pt idx="112">
                  <c:v>49430</c:v>
                </c:pt>
                <c:pt idx="113">
                  <c:v>49461</c:v>
                </c:pt>
                <c:pt idx="114">
                  <c:v>49491</c:v>
                </c:pt>
                <c:pt idx="115">
                  <c:v>49522</c:v>
                </c:pt>
                <c:pt idx="116">
                  <c:v>49553</c:v>
                </c:pt>
                <c:pt idx="117">
                  <c:v>49583</c:v>
                </c:pt>
                <c:pt idx="118">
                  <c:v>49614</c:v>
                </c:pt>
                <c:pt idx="119">
                  <c:v>49644</c:v>
                </c:pt>
              </c:numCache>
            </c:numRef>
          </c:cat>
          <c:val>
            <c:numRef>
              <c:f>Rentabilité!$J$77:$J$196</c:f>
              <c:numCache>
                <c:formatCode>_("€"* #,##0.00_);_("€"* \(#,##0.00\);_("€"* "-"??_);_(@_)</c:formatCode>
                <c:ptCount val="120"/>
                <c:pt idx="0">
                  <c:v>-111042.71744234064</c:v>
                </c:pt>
                <c:pt idx="1">
                  <c:v>-222085.43488468128</c:v>
                </c:pt>
                <c:pt idx="2">
                  <c:v>-333128.15232702193</c:v>
                </c:pt>
                <c:pt idx="3">
                  <c:v>-444170.86976936256</c:v>
                </c:pt>
                <c:pt idx="4">
                  <c:v>-555213.58721170318</c:v>
                </c:pt>
                <c:pt idx="5">
                  <c:v>-666256.30465404387</c:v>
                </c:pt>
                <c:pt idx="6">
                  <c:v>-777299.02209638455</c:v>
                </c:pt>
                <c:pt idx="7">
                  <c:v>-888341.73953872523</c:v>
                </c:pt>
                <c:pt idx="8">
                  <c:v>-999384.45698106592</c:v>
                </c:pt>
                <c:pt idx="9">
                  <c:v>-1110427.1744234066</c:v>
                </c:pt>
                <c:pt idx="10">
                  <c:v>-1221469.8918657473</c:v>
                </c:pt>
                <c:pt idx="11">
                  <c:v>-1332512.609308088</c:v>
                </c:pt>
                <c:pt idx="12">
                  <c:v>-1443555.3267504286</c:v>
                </c:pt>
                <c:pt idx="13">
                  <c:v>-1554598.0441927693</c:v>
                </c:pt>
                <c:pt idx="14">
                  <c:v>-1665640.76163511</c:v>
                </c:pt>
                <c:pt idx="15">
                  <c:v>-1776683.4790774507</c:v>
                </c:pt>
                <c:pt idx="16">
                  <c:v>-1887726.1965197914</c:v>
                </c:pt>
                <c:pt idx="17">
                  <c:v>-1998768.9139621321</c:v>
                </c:pt>
                <c:pt idx="18">
                  <c:v>-2109811.6314044725</c:v>
                </c:pt>
                <c:pt idx="19">
                  <c:v>-2220854.3488468132</c:v>
                </c:pt>
                <c:pt idx="20">
                  <c:v>-2331897.0662891539</c:v>
                </c:pt>
                <c:pt idx="21">
                  <c:v>-2442939.7837314946</c:v>
                </c:pt>
                <c:pt idx="22">
                  <c:v>-2553982.5011738352</c:v>
                </c:pt>
                <c:pt idx="23">
                  <c:v>-2665025.2186161759</c:v>
                </c:pt>
                <c:pt idx="24">
                  <c:v>-2776067.9360585166</c:v>
                </c:pt>
                <c:pt idx="25">
                  <c:v>-2887110.6535008573</c:v>
                </c:pt>
                <c:pt idx="26">
                  <c:v>-2998153.370943198</c:v>
                </c:pt>
                <c:pt idx="27">
                  <c:v>-3109196.0883855387</c:v>
                </c:pt>
                <c:pt idx="28">
                  <c:v>-3220238.8058278793</c:v>
                </c:pt>
                <c:pt idx="29">
                  <c:v>-3331281.52327022</c:v>
                </c:pt>
                <c:pt idx="30">
                  <c:v>-3442324.2407125607</c:v>
                </c:pt>
                <c:pt idx="31">
                  <c:v>-3553366.9581549014</c:v>
                </c:pt>
                <c:pt idx="32">
                  <c:v>-3664409.6755972421</c:v>
                </c:pt>
                <c:pt idx="33">
                  <c:v>-3775452.3930395828</c:v>
                </c:pt>
                <c:pt idx="34">
                  <c:v>-3886495.1104819234</c:v>
                </c:pt>
                <c:pt idx="35">
                  <c:v>-3997537.8279242641</c:v>
                </c:pt>
                <c:pt idx="36">
                  <c:v>-4108580.5453666048</c:v>
                </c:pt>
                <c:pt idx="37">
                  <c:v>-4219623.262808945</c:v>
                </c:pt>
                <c:pt idx="38">
                  <c:v>-4330665.9802512852</c:v>
                </c:pt>
                <c:pt idx="39">
                  <c:v>-4441708.6976936255</c:v>
                </c:pt>
                <c:pt idx="40">
                  <c:v>-4552751.4151359657</c:v>
                </c:pt>
                <c:pt idx="41">
                  <c:v>-4663794.1325783059</c:v>
                </c:pt>
                <c:pt idx="42">
                  <c:v>-4774836.8500206461</c:v>
                </c:pt>
                <c:pt idx="43">
                  <c:v>-4885879.5674629863</c:v>
                </c:pt>
                <c:pt idx="44">
                  <c:v>-4996922.2849053266</c:v>
                </c:pt>
                <c:pt idx="45">
                  <c:v>-5107965.0023476668</c:v>
                </c:pt>
                <c:pt idx="46">
                  <c:v>-5219007.719790007</c:v>
                </c:pt>
                <c:pt idx="47">
                  <c:v>-5330050.4372323472</c:v>
                </c:pt>
                <c:pt idx="48">
                  <c:v>-5441093.1546746874</c:v>
                </c:pt>
                <c:pt idx="49">
                  <c:v>-5552135.8721170276</c:v>
                </c:pt>
                <c:pt idx="50">
                  <c:v>-5663178.5895593679</c:v>
                </c:pt>
                <c:pt idx="51">
                  <c:v>-5774221.3070017081</c:v>
                </c:pt>
                <c:pt idx="52">
                  <c:v>-5885264.0244440483</c:v>
                </c:pt>
                <c:pt idx="53">
                  <c:v>-5996306.7418863885</c:v>
                </c:pt>
                <c:pt idx="54">
                  <c:v>-6107349.4593287287</c:v>
                </c:pt>
                <c:pt idx="55">
                  <c:v>-6218392.1767710689</c:v>
                </c:pt>
                <c:pt idx="56">
                  <c:v>-6329434.8942134092</c:v>
                </c:pt>
                <c:pt idx="57">
                  <c:v>-6440477.6116557494</c:v>
                </c:pt>
                <c:pt idx="58">
                  <c:v>-6551520.3290980896</c:v>
                </c:pt>
                <c:pt idx="59">
                  <c:v>-6662563.0465404298</c:v>
                </c:pt>
                <c:pt idx="60">
                  <c:v>-6775014.2058704803</c:v>
                </c:pt>
                <c:pt idx="61">
                  <c:v>-6883721.3652005307</c:v>
                </c:pt>
                <c:pt idx="62">
                  <c:v>-6988310.1245305808</c:v>
                </c:pt>
                <c:pt idx="63">
                  <c:v>-7088368.6438606316</c:v>
                </c:pt>
                <c:pt idx="64">
                  <c:v>-7183441.4991906825</c:v>
                </c:pt>
                <c:pt idx="65">
                  <c:v>-7273032.5241207322</c:v>
                </c:pt>
                <c:pt idx="66">
                  <c:v>-7356595.6356107835</c:v>
                </c:pt>
                <c:pt idx="67">
                  <c:v>-7433525.6423168331</c:v>
                </c:pt>
                <c:pt idx="68">
                  <c:v>-7503158.0337604843</c:v>
                </c:pt>
                <c:pt idx="69">
                  <c:v>-7564765.7484154943</c:v>
                </c:pt>
                <c:pt idx="70">
                  <c:v>-7617546.9186030012</c:v>
                </c:pt>
                <c:pt idx="71">
                  <c:v>-7660615.5898762532</c:v>
                </c:pt>
                <c:pt idx="72">
                  <c:v>-7693001.4123438261</c:v>
                </c:pt>
                <c:pt idx="73">
                  <c:v>-7713637.3011251511</c:v>
                </c:pt>
                <c:pt idx="74">
                  <c:v>-7721350.0628516041</c:v>
                </c:pt>
                <c:pt idx="75">
                  <c:v>-7714844.9848176967</c:v>
                </c:pt>
                <c:pt idx="76">
                  <c:v>-7692699.3830473945</c:v>
                </c:pt>
                <c:pt idx="77">
                  <c:v>-7653350.1051670555</c:v>
                </c:pt>
                <c:pt idx="78">
                  <c:v>-7595074.9835656779</c:v>
                </c:pt>
                <c:pt idx="79">
                  <c:v>-7515986.2338711582</c:v>
                </c:pt>
                <c:pt idx="80">
                  <c:v>-7413999.79327418</c:v>
                </c:pt>
                <c:pt idx="81">
                  <c:v>-7286825.5926844999</c:v>
                </c:pt>
                <c:pt idx="82">
                  <c:v>-7131942.7561028469</c:v>
                </c:pt>
                <c:pt idx="83">
                  <c:v>-6946583.719930023</c:v>
                </c:pt>
                <c:pt idx="84">
                  <c:v>-6727700.2642069105</c:v>
                </c:pt>
                <c:pt idx="85">
                  <c:v>-6471938.4469784833</c:v>
                </c:pt>
                <c:pt idx="86">
                  <c:v>-6175610.432094207</c:v>
                </c:pt>
                <c:pt idx="87">
                  <c:v>-5834663.1997884987</c:v>
                </c:pt>
                <c:pt idx="88">
                  <c:v>-5444632.1283192141</c:v>
                </c:pt>
                <c:pt idx="89">
                  <c:v>-5000606.4337699963</c:v>
                </c:pt>
                <c:pt idx="90">
                  <c:v>-4497191.4538328508</c:v>
                </c:pt>
                <c:pt idx="91">
                  <c:v>-3928443.7599689858</c:v>
                </c:pt>
                <c:pt idx="92">
                  <c:v>-3287833.080785729</c:v>
                </c:pt>
                <c:pt idx="93">
                  <c:v>-2568174.0177511424</c:v>
                </c:pt>
                <c:pt idx="94">
                  <c:v>-1761557.5324800909</c:v>
                </c:pt>
                <c:pt idx="95">
                  <c:v>-859291.18274893053</c:v>
                </c:pt>
                <c:pt idx="96">
                  <c:v>148190.91788835265</c:v>
                </c:pt>
                <c:pt idx="97">
                  <c:v>1271409.4445223678</c:v>
                </c:pt>
                <c:pt idx="98">
                  <c:v>2521939.5397527907</c:v>
                </c:pt>
                <c:pt idx="99">
                  <c:v>3912510.8604392614</c:v>
                </c:pt>
                <c:pt idx="100">
                  <c:v>5457129.0291273836</c:v>
                </c:pt>
                <c:pt idx="101">
                  <c:v>7171197.5306173246</c:v>
                </c:pt>
                <c:pt idx="102">
                  <c:v>9071661.0981892627</c:v>
                </c:pt>
                <c:pt idx="103">
                  <c:v>11177158.638451399</c:v>
                </c:pt>
                <c:pt idx="104">
                  <c:v>13508194.748672755</c:v>
                </c:pt>
                <c:pt idx="105">
                  <c:v>16087323.885849254</c:v>
                </c:pt>
                <c:pt idx="106">
                  <c:v>18939356.252676405</c:v>
                </c:pt>
                <c:pt idx="107">
                  <c:v>22091579.472119279</c:v>
                </c:pt>
                <c:pt idx="108">
                  <c:v>25574014.129439443</c:v>
                </c:pt>
                <c:pt idx="109">
                  <c:v>29419682.26842463</c:v>
                </c:pt>
                <c:pt idx="110">
                  <c:v>33664906.937241338</c:v>
                </c:pt>
                <c:pt idx="111">
                  <c:v>38349642.888872728</c:v>
                </c:pt>
                <c:pt idx="112">
                  <c:v>43517841.551600255</c:v>
                </c:pt>
                <c:pt idx="113">
                  <c:v>49217847.396533549</c:v>
                </c:pt>
                <c:pt idx="114">
                  <c:v>55502843.841893166</c:v>
                </c:pt>
                <c:pt idx="115">
                  <c:v>62431327.847721763</c:v>
                </c:pt>
                <c:pt idx="116">
                  <c:v>70067649.370066226</c:v>
                </c:pt>
                <c:pt idx="117">
                  <c:v>78482591.86057812</c:v>
                </c:pt>
                <c:pt idx="118">
                  <c:v>87754018.01607421</c:v>
                </c:pt>
                <c:pt idx="119">
                  <c:v>97967575.00305292</c:v>
                </c:pt>
              </c:numCache>
            </c:numRef>
          </c:val>
          <c:extLst>
            <c:ext xmlns:c16="http://schemas.microsoft.com/office/drawing/2014/chart" uri="{C3380CC4-5D6E-409C-BE32-E72D297353CC}">
              <c16:uniqueId val="{00000008-6F56-4358-9B4D-69BFD77C1924}"/>
            </c:ext>
          </c:extLst>
        </c:ser>
        <c:dLbls>
          <c:showLegendKey val="0"/>
          <c:showVal val="0"/>
          <c:showCatName val="0"/>
          <c:showSerName val="0"/>
          <c:showPercent val="0"/>
          <c:showBubbleSize val="0"/>
        </c:dLbls>
        <c:axId val="1056748672"/>
        <c:axId val="1056734752"/>
        <c:extLst>
          <c:ext xmlns:c15="http://schemas.microsoft.com/office/drawing/2012/chart" uri="{02D57815-91ED-43cb-92C2-25804820EDAC}">
            <c15:filteredAreaSeries>
              <c15:ser>
                <c:idx val="0"/>
                <c:order val="0"/>
                <c:tx>
                  <c:strRef>
                    <c:extLst>
                      <c:ext uri="{02D57815-91ED-43cb-92C2-25804820EDAC}">
                        <c15:formulaRef>
                          <c15:sqref>Rentabilité!$B$76</c15:sqref>
                        </c15:formulaRef>
                      </c:ext>
                    </c:extLst>
                    <c:strCache>
                      <c:ptCount val="1"/>
                      <c:pt idx="0">
                        <c:v>Gains annuel projetés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extLst>
                      <c:ext uri="{02D57815-91ED-43cb-92C2-25804820EDAC}">
                        <c15:formulaRef>
                          <c15:sqref>Rentabilité!$A$77:$A$196</c15:sqref>
                        </c15:formulaRef>
                      </c:ext>
                    </c:extLst>
                    <c:numCache>
                      <c:formatCode>mmm\-yy</c:formatCode>
                      <c:ptCount val="120"/>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pt idx="48">
                        <c:v>47484</c:v>
                      </c:pt>
                      <c:pt idx="49">
                        <c:v>47515</c:v>
                      </c:pt>
                      <c:pt idx="50">
                        <c:v>47543</c:v>
                      </c:pt>
                      <c:pt idx="51">
                        <c:v>47574</c:v>
                      </c:pt>
                      <c:pt idx="52">
                        <c:v>47604</c:v>
                      </c:pt>
                      <c:pt idx="53">
                        <c:v>47635</c:v>
                      </c:pt>
                      <c:pt idx="54">
                        <c:v>47665</c:v>
                      </c:pt>
                      <c:pt idx="55">
                        <c:v>47696</c:v>
                      </c:pt>
                      <c:pt idx="56">
                        <c:v>47727</c:v>
                      </c:pt>
                      <c:pt idx="57">
                        <c:v>47757</c:v>
                      </c:pt>
                      <c:pt idx="58">
                        <c:v>47788</c:v>
                      </c:pt>
                      <c:pt idx="59">
                        <c:v>47818</c:v>
                      </c:pt>
                      <c:pt idx="60">
                        <c:v>47849</c:v>
                      </c:pt>
                      <c:pt idx="61">
                        <c:v>47880</c:v>
                      </c:pt>
                      <c:pt idx="62">
                        <c:v>47908</c:v>
                      </c:pt>
                      <c:pt idx="63">
                        <c:v>47939</c:v>
                      </c:pt>
                      <c:pt idx="64">
                        <c:v>47969</c:v>
                      </c:pt>
                      <c:pt idx="65">
                        <c:v>48000</c:v>
                      </c:pt>
                      <c:pt idx="66">
                        <c:v>48030</c:v>
                      </c:pt>
                      <c:pt idx="67">
                        <c:v>48061</c:v>
                      </c:pt>
                      <c:pt idx="68">
                        <c:v>48092</c:v>
                      </c:pt>
                      <c:pt idx="69">
                        <c:v>48122</c:v>
                      </c:pt>
                      <c:pt idx="70">
                        <c:v>48153</c:v>
                      </c:pt>
                      <c:pt idx="71">
                        <c:v>48183</c:v>
                      </c:pt>
                      <c:pt idx="72">
                        <c:v>48214</c:v>
                      </c:pt>
                      <c:pt idx="73">
                        <c:v>48245</c:v>
                      </c:pt>
                      <c:pt idx="74">
                        <c:v>48274</c:v>
                      </c:pt>
                      <c:pt idx="75">
                        <c:v>48305</c:v>
                      </c:pt>
                      <c:pt idx="76">
                        <c:v>48335</c:v>
                      </c:pt>
                      <c:pt idx="77">
                        <c:v>48366</c:v>
                      </c:pt>
                      <c:pt idx="78">
                        <c:v>48396</c:v>
                      </c:pt>
                      <c:pt idx="79">
                        <c:v>48427</c:v>
                      </c:pt>
                      <c:pt idx="80">
                        <c:v>48458</c:v>
                      </c:pt>
                      <c:pt idx="81">
                        <c:v>48488</c:v>
                      </c:pt>
                      <c:pt idx="82">
                        <c:v>48519</c:v>
                      </c:pt>
                      <c:pt idx="83">
                        <c:v>48549</c:v>
                      </c:pt>
                      <c:pt idx="84">
                        <c:v>48580</c:v>
                      </c:pt>
                      <c:pt idx="85">
                        <c:v>48611</c:v>
                      </c:pt>
                      <c:pt idx="86">
                        <c:v>48639</c:v>
                      </c:pt>
                      <c:pt idx="87">
                        <c:v>48670</c:v>
                      </c:pt>
                      <c:pt idx="88">
                        <c:v>48700</c:v>
                      </c:pt>
                      <c:pt idx="89">
                        <c:v>48731</c:v>
                      </c:pt>
                      <c:pt idx="90">
                        <c:v>48761</c:v>
                      </c:pt>
                      <c:pt idx="91">
                        <c:v>48792</c:v>
                      </c:pt>
                      <c:pt idx="92">
                        <c:v>48823</c:v>
                      </c:pt>
                      <c:pt idx="93">
                        <c:v>48853</c:v>
                      </c:pt>
                      <c:pt idx="94">
                        <c:v>48884</c:v>
                      </c:pt>
                      <c:pt idx="95">
                        <c:v>48914</c:v>
                      </c:pt>
                      <c:pt idx="96">
                        <c:v>48945</c:v>
                      </c:pt>
                      <c:pt idx="97">
                        <c:v>48976</c:v>
                      </c:pt>
                      <c:pt idx="98">
                        <c:v>49004</c:v>
                      </c:pt>
                      <c:pt idx="99">
                        <c:v>49035</c:v>
                      </c:pt>
                      <c:pt idx="100">
                        <c:v>49065</c:v>
                      </c:pt>
                      <c:pt idx="101">
                        <c:v>49096</c:v>
                      </c:pt>
                      <c:pt idx="102">
                        <c:v>49126</c:v>
                      </c:pt>
                      <c:pt idx="103">
                        <c:v>49157</c:v>
                      </c:pt>
                      <c:pt idx="104">
                        <c:v>49188</c:v>
                      </c:pt>
                      <c:pt idx="105">
                        <c:v>49218</c:v>
                      </c:pt>
                      <c:pt idx="106">
                        <c:v>49249</c:v>
                      </c:pt>
                      <c:pt idx="107">
                        <c:v>49279</c:v>
                      </c:pt>
                      <c:pt idx="108">
                        <c:v>49310</c:v>
                      </c:pt>
                      <c:pt idx="109">
                        <c:v>49341</c:v>
                      </c:pt>
                      <c:pt idx="110">
                        <c:v>49369</c:v>
                      </c:pt>
                      <c:pt idx="111">
                        <c:v>49400</c:v>
                      </c:pt>
                      <c:pt idx="112">
                        <c:v>49430</c:v>
                      </c:pt>
                      <c:pt idx="113">
                        <c:v>49461</c:v>
                      </c:pt>
                      <c:pt idx="114">
                        <c:v>49491</c:v>
                      </c:pt>
                      <c:pt idx="115">
                        <c:v>49522</c:v>
                      </c:pt>
                      <c:pt idx="116">
                        <c:v>49553</c:v>
                      </c:pt>
                      <c:pt idx="117">
                        <c:v>49583</c:v>
                      </c:pt>
                      <c:pt idx="118">
                        <c:v>49614</c:v>
                      </c:pt>
                      <c:pt idx="119">
                        <c:v>49644</c:v>
                      </c:pt>
                    </c:numCache>
                  </c:numRef>
                </c:cat>
                <c:val>
                  <c:numRef>
                    <c:extLst>
                      <c:ext uri="{02D57815-91ED-43cb-92C2-25804820EDAC}">
                        <c15:formulaRef>
                          <c15:sqref>Rentabilité!$B$77:$B$196</c15:sqref>
                        </c15:formulaRef>
                      </c:ext>
                    </c:extLst>
                    <c:numCache>
                      <c:formatCode>_("€"* #,##0.00_);_("€"* \(#,##0.00\);_("€"* "-"??_);_(@_)</c:formatCode>
                      <c:ptCount val="1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37440</c:v>
                      </c:pt>
                      <c:pt idx="61">
                        <c:v>41184</c:v>
                      </c:pt>
                      <c:pt idx="62">
                        <c:v>45302.400000000001</c:v>
                      </c:pt>
                      <c:pt idx="63">
                        <c:v>49832.639999999999</c:v>
                      </c:pt>
                      <c:pt idx="64">
                        <c:v>54818.304000000004</c:v>
                      </c:pt>
                      <c:pt idx="65">
                        <c:v>60300.134400000003</c:v>
                      </c:pt>
                      <c:pt idx="66">
                        <c:v>66328.047839999999</c:v>
                      </c:pt>
                      <c:pt idx="67">
                        <c:v>72961.152623999995</c:v>
                      </c:pt>
                      <c:pt idx="68">
                        <c:v>80258.767886400004</c:v>
                      </c:pt>
                      <c:pt idx="69">
                        <c:v>88283.444675039995</c:v>
                      </c:pt>
                      <c:pt idx="70">
                        <c:v>97109.989142544</c:v>
                      </c:pt>
                      <c:pt idx="71">
                        <c:v>106822.48805679841</c:v>
                      </c:pt>
                      <c:pt idx="72">
                        <c:v>117505.33686247825</c:v>
                      </c:pt>
                      <c:pt idx="73">
                        <c:v>129255.27054872607</c:v>
                      </c:pt>
                      <c:pt idx="74">
                        <c:v>142178.39760359869</c:v>
                      </c:pt>
                      <c:pt idx="75">
                        <c:v>156396.23736395856</c:v>
                      </c:pt>
                      <c:pt idx="76">
                        <c:v>172036.7611003544</c:v>
                      </c:pt>
                      <c:pt idx="77">
                        <c:v>189240.43721038985</c:v>
                      </c:pt>
                      <c:pt idx="78">
                        <c:v>208166.28093142883</c:v>
                      </c:pt>
                      <c:pt idx="79">
                        <c:v>228979.90902457171</c:v>
                      </c:pt>
                      <c:pt idx="80">
                        <c:v>251877.59992702887</c:v>
                      </c:pt>
                      <c:pt idx="81">
                        <c:v>277065.35991973174</c:v>
                      </c:pt>
                      <c:pt idx="82">
                        <c:v>304773.99591170496</c:v>
                      </c:pt>
                      <c:pt idx="83">
                        <c:v>335250.19550287543</c:v>
                      </c:pt>
                      <c:pt idx="84">
                        <c:v>368774.61505316297</c:v>
                      </c:pt>
                      <c:pt idx="85">
                        <c:v>405652.97655847931</c:v>
                      </c:pt>
                      <c:pt idx="86">
                        <c:v>446219.17421432718</c:v>
                      </c:pt>
                      <c:pt idx="87">
                        <c:v>490838.39163575997</c:v>
                      </c:pt>
                      <c:pt idx="88">
                        <c:v>539922.23079933599</c:v>
                      </c:pt>
                      <c:pt idx="89">
                        <c:v>593916.85387926956</c:v>
                      </c:pt>
                      <c:pt idx="90">
                        <c:v>653306.13926719653</c:v>
                      </c:pt>
                      <c:pt idx="91">
                        <c:v>718638.85319391615</c:v>
                      </c:pt>
                      <c:pt idx="92">
                        <c:v>790501.83851330774</c:v>
                      </c:pt>
                      <c:pt idx="93">
                        <c:v>869550.22236463858</c:v>
                      </c:pt>
                      <c:pt idx="94">
                        <c:v>956507.64460110234</c:v>
                      </c:pt>
                      <c:pt idx="95">
                        <c:v>1052157.5090612127</c:v>
                      </c:pt>
                      <c:pt idx="96">
                        <c:v>1157373.2599673339</c:v>
                      </c:pt>
                      <c:pt idx="97">
                        <c:v>1273109.6859640672</c:v>
                      </c:pt>
                      <c:pt idx="98">
                        <c:v>1400421.2545604741</c:v>
                      </c:pt>
                      <c:pt idx="99">
                        <c:v>1540462.4800165214</c:v>
                      </c:pt>
                      <c:pt idx="100">
                        <c:v>1694509.3280181736</c:v>
                      </c:pt>
                      <c:pt idx="101">
                        <c:v>1863959.660819991</c:v>
                      </c:pt>
                      <c:pt idx="102">
                        <c:v>2050354.7269019899</c:v>
                      </c:pt>
                      <c:pt idx="103">
                        <c:v>2255388.6995921889</c:v>
                      </c:pt>
                      <c:pt idx="104">
                        <c:v>2480927.269551408</c:v>
                      </c:pt>
                      <c:pt idx="105">
                        <c:v>2729020.2965065488</c:v>
                      </c:pt>
                      <c:pt idx="106">
                        <c:v>3001923.5261572036</c:v>
                      </c:pt>
                      <c:pt idx="107">
                        <c:v>3302114.3787729242</c:v>
                      </c:pt>
                      <c:pt idx="108">
                        <c:v>3632325.8166502165</c:v>
                      </c:pt>
                      <c:pt idx="109">
                        <c:v>3995559.2983152382</c:v>
                      </c:pt>
                      <c:pt idx="110">
                        <c:v>4395115.8281467622</c:v>
                      </c:pt>
                      <c:pt idx="111">
                        <c:v>4834627.1109614382</c:v>
                      </c:pt>
                      <c:pt idx="112">
                        <c:v>5318089.8220575815</c:v>
                      </c:pt>
                      <c:pt idx="113">
                        <c:v>5849897.0042633405</c:v>
                      </c:pt>
                      <c:pt idx="114">
                        <c:v>6434887.6046896745</c:v>
                      </c:pt>
                      <c:pt idx="115">
                        <c:v>7078375.1651586415</c:v>
                      </c:pt>
                      <c:pt idx="116">
                        <c:v>7786212.6816745056</c:v>
                      </c:pt>
                      <c:pt idx="117">
                        <c:v>8564833.6498419568</c:v>
                      </c:pt>
                      <c:pt idx="118">
                        <c:v>9421317.3148261514</c:v>
                      </c:pt>
                      <c:pt idx="119">
                        <c:v>10363448.146308767</c:v>
                      </c:pt>
                    </c:numCache>
                  </c:numRef>
                </c:val>
                <c:extLst>
                  <c:ext xmlns:c16="http://schemas.microsoft.com/office/drawing/2014/chart" uri="{C3380CC4-5D6E-409C-BE32-E72D297353CC}">
                    <c16:uniqueId val="{00000000-6F56-4358-9B4D-69BFD77C1924}"/>
                  </c:ext>
                </c:extLst>
              </c15:ser>
            </c15:filteredAreaSeries>
            <c15:filteredAreaSeries>
              <c15:ser>
                <c:idx val="1"/>
                <c:order val="1"/>
                <c:tx>
                  <c:strRef>
                    <c:extLst xmlns:c15="http://schemas.microsoft.com/office/drawing/2012/chart">
                      <c:ext xmlns:c15="http://schemas.microsoft.com/office/drawing/2012/chart" uri="{02D57815-91ED-43cb-92C2-25804820EDAC}">
                        <c15:formulaRef>
                          <c15:sqref>Rentabilité!$C$76</c15:sqref>
                        </c15:formulaRef>
                      </c:ext>
                    </c:extLst>
                    <c:strCache>
                      <c:ptCount val="1"/>
                      <c:pt idx="0">
                        <c:v>Coûts main d'oeuvre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extLst xmlns:c15="http://schemas.microsoft.com/office/drawing/2012/chart">
                      <c:ext xmlns:c15="http://schemas.microsoft.com/office/drawing/2012/chart" uri="{02D57815-91ED-43cb-92C2-25804820EDAC}">
                        <c15:formulaRef>
                          <c15:sqref>Rentabilité!$A$77:$A$196</c15:sqref>
                        </c15:formulaRef>
                      </c:ext>
                    </c:extLst>
                    <c:numCache>
                      <c:formatCode>mmm\-yy</c:formatCode>
                      <c:ptCount val="120"/>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pt idx="48">
                        <c:v>47484</c:v>
                      </c:pt>
                      <c:pt idx="49">
                        <c:v>47515</c:v>
                      </c:pt>
                      <c:pt idx="50">
                        <c:v>47543</c:v>
                      </c:pt>
                      <c:pt idx="51">
                        <c:v>47574</c:v>
                      </c:pt>
                      <c:pt idx="52">
                        <c:v>47604</c:v>
                      </c:pt>
                      <c:pt idx="53">
                        <c:v>47635</c:v>
                      </c:pt>
                      <c:pt idx="54">
                        <c:v>47665</c:v>
                      </c:pt>
                      <c:pt idx="55">
                        <c:v>47696</c:v>
                      </c:pt>
                      <c:pt idx="56">
                        <c:v>47727</c:v>
                      </c:pt>
                      <c:pt idx="57">
                        <c:v>47757</c:v>
                      </c:pt>
                      <c:pt idx="58">
                        <c:v>47788</c:v>
                      </c:pt>
                      <c:pt idx="59">
                        <c:v>47818</c:v>
                      </c:pt>
                      <c:pt idx="60">
                        <c:v>47849</c:v>
                      </c:pt>
                      <c:pt idx="61">
                        <c:v>47880</c:v>
                      </c:pt>
                      <c:pt idx="62">
                        <c:v>47908</c:v>
                      </c:pt>
                      <c:pt idx="63">
                        <c:v>47939</c:v>
                      </c:pt>
                      <c:pt idx="64">
                        <c:v>47969</c:v>
                      </c:pt>
                      <c:pt idx="65">
                        <c:v>48000</c:v>
                      </c:pt>
                      <c:pt idx="66">
                        <c:v>48030</c:v>
                      </c:pt>
                      <c:pt idx="67">
                        <c:v>48061</c:v>
                      </c:pt>
                      <c:pt idx="68">
                        <c:v>48092</c:v>
                      </c:pt>
                      <c:pt idx="69">
                        <c:v>48122</c:v>
                      </c:pt>
                      <c:pt idx="70">
                        <c:v>48153</c:v>
                      </c:pt>
                      <c:pt idx="71">
                        <c:v>48183</c:v>
                      </c:pt>
                      <c:pt idx="72">
                        <c:v>48214</c:v>
                      </c:pt>
                      <c:pt idx="73">
                        <c:v>48245</c:v>
                      </c:pt>
                      <c:pt idx="74">
                        <c:v>48274</c:v>
                      </c:pt>
                      <c:pt idx="75">
                        <c:v>48305</c:v>
                      </c:pt>
                      <c:pt idx="76">
                        <c:v>48335</c:v>
                      </c:pt>
                      <c:pt idx="77">
                        <c:v>48366</c:v>
                      </c:pt>
                      <c:pt idx="78">
                        <c:v>48396</c:v>
                      </c:pt>
                      <c:pt idx="79">
                        <c:v>48427</c:v>
                      </c:pt>
                      <c:pt idx="80">
                        <c:v>48458</c:v>
                      </c:pt>
                      <c:pt idx="81">
                        <c:v>48488</c:v>
                      </c:pt>
                      <c:pt idx="82">
                        <c:v>48519</c:v>
                      </c:pt>
                      <c:pt idx="83">
                        <c:v>48549</c:v>
                      </c:pt>
                      <c:pt idx="84">
                        <c:v>48580</c:v>
                      </c:pt>
                      <c:pt idx="85">
                        <c:v>48611</c:v>
                      </c:pt>
                      <c:pt idx="86">
                        <c:v>48639</c:v>
                      </c:pt>
                      <c:pt idx="87">
                        <c:v>48670</c:v>
                      </c:pt>
                      <c:pt idx="88">
                        <c:v>48700</c:v>
                      </c:pt>
                      <c:pt idx="89">
                        <c:v>48731</c:v>
                      </c:pt>
                      <c:pt idx="90">
                        <c:v>48761</c:v>
                      </c:pt>
                      <c:pt idx="91">
                        <c:v>48792</c:v>
                      </c:pt>
                      <c:pt idx="92">
                        <c:v>48823</c:v>
                      </c:pt>
                      <c:pt idx="93">
                        <c:v>48853</c:v>
                      </c:pt>
                      <c:pt idx="94">
                        <c:v>48884</c:v>
                      </c:pt>
                      <c:pt idx="95">
                        <c:v>48914</c:v>
                      </c:pt>
                      <c:pt idx="96">
                        <c:v>48945</c:v>
                      </c:pt>
                      <c:pt idx="97">
                        <c:v>48976</c:v>
                      </c:pt>
                      <c:pt idx="98">
                        <c:v>49004</c:v>
                      </c:pt>
                      <c:pt idx="99">
                        <c:v>49035</c:v>
                      </c:pt>
                      <c:pt idx="100">
                        <c:v>49065</c:v>
                      </c:pt>
                      <c:pt idx="101">
                        <c:v>49096</c:v>
                      </c:pt>
                      <c:pt idx="102">
                        <c:v>49126</c:v>
                      </c:pt>
                      <c:pt idx="103">
                        <c:v>49157</c:v>
                      </c:pt>
                      <c:pt idx="104">
                        <c:v>49188</c:v>
                      </c:pt>
                      <c:pt idx="105">
                        <c:v>49218</c:v>
                      </c:pt>
                      <c:pt idx="106">
                        <c:v>49249</c:v>
                      </c:pt>
                      <c:pt idx="107">
                        <c:v>49279</c:v>
                      </c:pt>
                      <c:pt idx="108">
                        <c:v>49310</c:v>
                      </c:pt>
                      <c:pt idx="109">
                        <c:v>49341</c:v>
                      </c:pt>
                      <c:pt idx="110">
                        <c:v>49369</c:v>
                      </c:pt>
                      <c:pt idx="111">
                        <c:v>49400</c:v>
                      </c:pt>
                      <c:pt idx="112">
                        <c:v>49430</c:v>
                      </c:pt>
                      <c:pt idx="113">
                        <c:v>49461</c:v>
                      </c:pt>
                      <c:pt idx="114">
                        <c:v>49491</c:v>
                      </c:pt>
                      <c:pt idx="115">
                        <c:v>49522</c:v>
                      </c:pt>
                      <c:pt idx="116">
                        <c:v>49553</c:v>
                      </c:pt>
                      <c:pt idx="117">
                        <c:v>49583</c:v>
                      </c:pt>
                      <c:pt idx="118">
                        <c:v>49614</c:v>
                      </c:pt>
                      <c:pt idx="119">
                        <c:v>49644</c:v>
                      </c:pt>
                    </c:numCache>
                  </c:numRef>
                </c:cat>
                <c:val>
                  <c:numRef>
                    <c:extLst xmlns:c15="http://schemas.microsoft.com/office/drawing/2012/chart">
                      <c:ext xmlns:c15="http://schemas.microsoft.com/office/drawing/2012/chart" uri="{02D57815-91ED-43cb-92C2-25804820EDAC}">
                        <c15:formulaRef>
                          <c15:sqref>Rentabilité!$C$77:$C$196</c15:sqref>
                        </c15:formulaRef>
                      </c:ext>
                    </c:extLst>
                    <c:numCache>
                      <c:formatCode>"€"#,##0_);[Red]\("€"#,##0\)</c:formatCode>
                      <c:ptCount val="120"/>
                      <c:pt idx="0">
                        <c:v>-80833.333333333343</c:v>
                      </c:pt>
                      <c:pt idx="1">
                        <c:v>-80833.333333333343</c:v>
                      </c:pt>
                      <c:pt idx="2">
                        <c:v>-80833.333333333343</c:v>
                      </c:pt>
                      <c:pt idx="3">
                        <c:v>-80833.333333333343</c:v>
                      </c:pt>
                      <c:pt idx="4">
                        <c:v>-80833.333333333343</c:v>
                      </c:pt>
                      <c:pt idx="5">
                        <c:v>-80833.333333333343</c:v>
                      </c:pt>
                      <c:pt idx="6">
                        <c:v>-80833.333333333343</c:v>
                      </c:pt>
                      <c:pt idx="7">
                        <c:v>-80833.333333333343</c:v>
                      </c:pt>
                      <c:pt idx="8">
                        <c:v>-80833.333333333343</c:v>
                      </c:pt>
                      <c:pt idx="9">
                        <c:v>-80833.333333333343</c:v>
                      </c:pt>
                      <c:pt idx="10">
                        <c:v>-80833.333333333343</c:v>
                      </c:pt>
                      <c:pt idx="11">
                        <c:v>-80833.333333333343</c:v>
                      </c:pt>
                      <c:pt idx="12">
                        <c:v>-80833.333333333343</c:v>
                      </c:pt>
                      <c:pt idx="13">
                        <c:v>-80833.333333333343</c:v>
                      </c:pt>
                      <c:pt idx="14">
                        <c:v>-80833.333333333343</c:v>
                      </c:pt>
                      <c:pt idx="15">
                        <c:v>-80833.333333333343</c:v>
                      </c:pt>
                      <c:pt idx="16">
                        <c:v>-80833.333333333343</c:v>
                      </c:pt>
                      <c:pt idx="17">
                        <c:v>-80833.333333333343</c:v>
                      </c:pt>
                      <c:pt idx="18">
                        <c:v>-80833.333333333343</c:v>
                      </c:pt>
                      <c:pt idx="19">
                        <c:v>-80833.333333333343</c:v>
                      </c:pt>
                      <c:pt idx="20">
                        <c:v>-80833.333333333343</c:v>
                      </c:pt>
                      <c:pt idx="21">
                        <c:v>-80833.333333333343</c:v>
                      </c:pt>
                      <c:pt idx="22">
                        <c:v>-80833.333333333343</c:v>
                      </c:pt>
                      <c:pt idx="23">
                        <c:v>-80833.333333333343</c:v>
                      </c:pt>
                      <c:pt idx="24">
                        <c:v>-80833.333333333343</c:v>
                      </c:pt>
                      <c:pt idx="25">
                        <c:v>-80833.333333333343</c:v>
                      </c:pt>
                      <c:pt idx="26">
                        <c:v>-80833.333333333343</c:v>
                      </c:pt>
                      <c:pt idx="27">
                        <c:v>-80833.333333333343</c:v>
                      </c:pt>
                      <c:pt idx="28">
                        <c:v>-80833.333333333343</c:v>
                      </c:pt>
                      <c:pt idx="29">
                        <c:v>-80833.333333333343</c:v>
                      </c:pt>
                      <c:pt idx="30">
                        <c:v>-80833.333333333343</c:v>
                      </c:pt>
                      <c:pt idx="31">
                        <c:v>-80833.333333333343</c:v>
                      </c:pt>
                      <c:pt idx="32">
                        <c:v>-80833.333333333343</c:v>
                      </c:pt>
                      <c:pt idx="33">
                        <c:v>-80833.333333333343</c:v>
                      </c:pt>
                      <c:pt idx="34">
                        <c:v>-80833.333333333343</c:v>
                      </c:pt>
                      <c:pt idx="35">
                        <c:v>-80833.333333333343</c:v>
                      </c:pt>
                      <c:pt idx="36">
                        <c:v>-80833.333333333343</c:v>
                      </c:pt>
                      <c:pt idx="37">
                        <c:v>-80833.333333333343</c:v>
                      </c:pt>
                      <c:pt idx="38">
                        <c:v>-80833.333333333343</c:v>
                      </c:pt>
                      <c:pt idx="39">
                        <c:v>-80833.333333333343</c:v>
                      </c:pt>
                      <c:pt idx="40">
                        <c:v>-80833.333333333343</c:v>
                      </c:pt>
                      <c:pt idx="41">
                        <c:v>-80833.333333333343</c:v>
                      </c:pt>
                      <c:pt idx="42">
                        <c:v>-80833.333333333343</c:v>
                      </c:pt>
                      <c:pt idx="43">
                        <c:v>-80833.333333333343</c:v>
                      </c:pt>
                      <c:pt idx="44">
                        <c:v>-80833.333333333343</c:v>
                      </c:pt>
                      <c:pt idx="45">
                        <c:v>-80833.333333333343</c:v>
                      </c:pt>
                      <c:pt idx="46">
                        <c:v>-80833.333333333343</c:v>
                      </c:pt>
                      <c:pt idx="47">
                        <c:v>-80833.333333333343</c:v>
                      </c:pt>
                      <c:pt idx="48">
                        <c:v>-80833.333333333343</c:v>
                      </c:pt>
                      <c:pt idx="49">
                        <c:v>-80833.333333333343</c:v>
                      </c:pt>
                      <c:pt idx="50">
                        <c:v>-80833.333333333343</c:v>
                      </c:pt>
                      <c:pt idx="51">
                        <c:v>-80833.333333333343</c:v>
                      </c:pt>
                      <c:pt idx="52">
                        <c:v>-80833.333333333343</c:v>
                      </c:pt>
                      <c:pt idx="53">
                        <c:v>-80833.333333333343</c:v>
                      </c:pt>
                      <c:pt idx="54">
                        <c:v>-80833.333333333343</c:v>
                      </c:pt>
                      <c:pt idx="55">
                        <c:v>-80833.333333333343</c:v>
                      </c:pt>
                      <c:pt idx="56">
                        <c:v>-80833.333333333343</c:v>
                      </c:pt>
                      <c:pt idx="57">
                        <c:v>-80833.333333333343</c:v>
                      </c:pt>
                      <c:pt idx="58">
                        <c:v>-80833.333333333343</c:v>
                      </c:pt>
                      <c:pt idx="59">
                        <c:v>-80833.333333333343</c:v>
                      </c:pt>
                      <c:pt idx="60">
                        <c:v>-80833.333333333343</c:v>
                      </c:pt>
                      <c:pt idx="61">
                        <c:v>-80833.333333333343</c:v>
                      </c:pt>
                      <c:pt idx="62">
                        <c:v>-80833.333333333343</c:v>
                      </c:pt>
                      <c:pt idx="63">
                        <c:v>-80833.333333333343</c:v>
                      </c:pt>
                      <c:pt idx="64">
                        <c:v>-80833.333333333343</c:v>
                      </c:pt>
                      <c:pt idx="65">
                        <c:v>-80833.333333333343</c:v>
                      </c:pt>
                      <c:pt idx="66">
                        <c:v>-80833.333333333343</c:v>
                      </c:pt>
                      <c:pt idx="67">
                        <c:v>-80833.333333333343</c:v>
                      </c:pt>
                      <c:pt idx="68">
                        <c:v>-80833.333333333343</c:v>
                      </c:pt>
                      <c:pt idx="69">
                        <c:v>-80833.333333333343</c:v>
                      </c:pt>
                      <c:pt idx="70">
                        <c:v>-80833.333333333343</c:v>
                      </c:pt>
                      <c:pt idx="71">
                        <c:v>-80833.333333333343</c:v>
                      </c:pt>
                      <c:pt idx="72">
                        <c:v>-80833.333333333343</c:v>
                      </c:pt>
                      <c:pt idx="73">
                        <c:v>-80833.333333333343</c:v>
                      </c:pt>
                      <c:pt idx="74">
                        <c:v>-80833.333333333343</c:v>
                      </c:pt>
                      <c:pt idx="75">
                        <c:v>-80833.333333333343</c:v>
                      </c:pt>
                      <c:pt idx="76">
                        <c:v>-80833.333333333343</c:v>
                      </c:pt>
                      <c:pt idx="77">
                        <c:v>-80833.333333333343</c:v>
                      </c:pt>
                      <c:pt idx="78">
                        <c:v>-80833.333333333343</c:v>
                      </c:pt>
                      <c:pt idx="79">
                        <c:v>-80833.333333333343</c:v>
                      </c:pt>
                      <c:pt idx="80">
                        <c:v>-80833.333333333343</c:v>
                      </c:pt>
                      <c:pt idx="81">
                        <c:v>-80833.333333333343</c:v>
                      </c:pt>
                      <c:pt idx="82">
                        <c:v>-80833.333333333343</c:v>
                      </c:pt>
                      <c:pt idx="83">
                        <c:v>-80833.333333333343</c:v>
                      </c:pt>
                      <c:pt idx="84">
                        <c:v>-80833.333333333343</c:v>
                      </c:pt>
                      <c:pt idx="85">
                        <c:v>-80833.333333333343</c:v>
                      </c:pt>
                      <c:pt idx="86">
                        <c:v>-80833.333333333343</c:v>
                      </c:pt>
                      <c:pt idx="87">
                        <c:v>-80833.333333333343</c:v>
                      </c:pt>
                      <c:pt idx="88">
                        <c:v>-80833.333333333343</c:v>
                      </c:pt>
                      <c:pt idx="89">
                        <c:v>-80833.333333333343</c:v>
                      </c:pt>
                      <c:pt idx="90">
                        <c:v>-80833.333333333343</c:v>
                      </c:pt>
                      <c:pt idx="91">
                        <c:v>-80833.333333333343</c:v>
                      </c:pt>
                      <c:pt idx="92">
                        <c:v>-80833.333333333343</c:v>
                      </c:pt>
                      <c:pt idx="93">
                        <c:v>-80833.333333333343</c:v>
                      </c:pt>
                      <c:pt idx="94">
                        <c:v>-80833.333333333343</c:v>
                      </c:pt>
                      <c:pt idx="95">
                        <c:v>-80833.333333333343</c:v>
                      </c:pt>
                      <c:pt idx="96">
                        <c:v>-80833.333333333343</c:v>
                      </c:pt>
                      <c:pt idx="97">
                        <c:v>-80833.333333333343</c:v>
                      </c:pt>
                      <c:pt idx="98">
                        <c:v>-80833.333333333343</c:v>
                      </c:pt>
                      <c:pt idx="99">
                        <c:v>-80833.333333333343</c:v>
                      </c:pt>
                      <c:pt idx="100">
                        <c:v>-80833.333333333343</c:v>
                      </c:pt>
                      <c:pt idx="101">
                        <c:v>-80833.333333333343</c:v>
                      </c:pt>
                      <c:pt idx="102">
                        <c:v>-80833.333333333343</c:v>
                      </c:pt>
                      <c:pt idx="103">
                        <c:v>-80833.333333333343</c:v>
                      </c:pt>
                      <c:pt idx="104">
                        <c:v>-80833.333333333343</c:v>
                      </c:pt>
                      <c:pt idx="105">
                        <c:v>-80833.333333333343</c:v>
                      </c:pt>
                      <c:pt idx="106">
                        <c:v>-80833.333333333343</c:v>
                      </c:pt>
                      <c:pt idx="107">
                        <c:v>-80833.333333333343</c:v>
                      </c:pt>
                      <c:pt idx="108">
                        <c:v>-80833.333333333343</c:v>
                      </c:pt>
                      <c:pt idx="109">
                        <c:v>-80833.333333333343</c:v>
                      </c:pt>
                      <c:pt idx="110">
                        <c:v>-80833.333333333343</c:v>
                      </c:pt>
                      <c:pt idx="111">
                        <c:v>-80833.333333333343</c:v>
                      </c:pt>
                      <c:pt idx="112">
                        <c:v>-80833.333333333343</c:v>
                      </c:pt>
                      <c:pt idx="113">
                        <c:v>-80833.333333333343</c:v>
                      </c:pt>
                      <c:pt idx="114">
                        <c:v>-80833.333333333343</c:v>
                      </c:pt>
                      <c:pt idx="115">
                        <c:v>-80833.333333333343</c:v>
                      </c:pt>
                      <c:pt idx="116">
                        <c:v>-80833.333333333343</c:v>
                      </c:pt>
                      <c:pt idx="117">
                        <c:v>-80833.333333333343</c:v>
                      </c:pt>
                      <c:pt idx="118">
                        <c:v>-80833.333333333343</c:v>
                      </c:pt>
                      <c:pt idx="119">
                        <c:v>-80833.333333333343</c:v>
                      </c:pt>
                    </c:numCache>
                  </c:numRef>
                </c:val>
                <c:extLst xmlns:c15="http://schemas.microsoft.com/office/drawing/2012/chart">
                  <c:ext xmlns:c16="http://schemas.microsoft.com/office/drawing/2014/chart" uri="{C3380CC4-5D6E-409C-BE32-E72D297353CC}">
                    <c16:uniqueId val="{00000001-6F56-4358-9B4D-69BFD77C1924}"/>
                  </c:ext>
                </c:extLst>
              </c15:ser>
            </c15:filteredAreaSeries>
            <c15:filteredAreaSeries>
              <c15:ser>
                <c:idx val="2"/>
                <c:order val="2"/>
                <c:tx>
                  <c:strRef>
                    <c:extLst xmlns:c15="http://schemas.microsoft.com/office/drawing/2012/chart">
                      <c:ext xmlns:c15="http://schemas.microsoft.com/office/drawing/2012/chart" uri="{02D57815-91ED-43cb-92C2-25804820EDAC}">
                        <c15:formulaRef>
                          <c15:sqref>Rentabilité!$D$76</c15:sqref>
                        </c15:formulaRef>
                      </c:ext>
                    </c:extLst>
                    <c:strCache>
                      <c:ptCount val="1"/>
                      <c:pt idx="0">
                        <c:v>Coûts infrastructure (conception et entraînement des modèles)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extLst xmlns:c15="http://schemas.microsoft.com/office/drawing/2012/chart">
                      <c:ext xmlns:c15="http://schemas.microsoft.com/office/drawing/2012/chart" uri="{02D57815-91ED-43cb-92C2-25804820EDAC}">
                        <c15:formulaRef>
                          <c15:sqref>Rentabilité!$A$77:$A$196</c15:sqref>
                        </c15:formulaRef>
                      </c:ext>
                    </c:extLst>
                    <c:numCache>
                      <c:formatCode>mmm\-yy</c:formatCode>
                      <c:ptCount val="120"/>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pt idx="48">
                        <c:v>47484</c:v>
                      </c:pt>
                      <c:pt idx="49">
                        <c:v>47515</c:v>
                      </c:pt>
                      <c:pt idx="50">
                        <c:v>47543</c:v>
                      </c:pt>
                      <c:pt idx="51">
                        <c:v>47574</c:v>
                      </c:pt>
                      <c:pt idx="52">
                        <c:v>47604</c:v>
                      </c:pt>
                      <c:pt idx="53">
                        <c:v>47635</c:v>
                      </c:pt>
                      <c:pt idx="54">
                        <c:v>47665</c:v>
                      </c:pt>
                      <c:pt idx="55">
                        <c:v>47696</c:v>
                      </c:pt>
                      <c:pt idx="56">
                        <c:v>47727</c:v>
                      </c:pt>
                      <c:pt idx="57">
                        <c:v>47757</c:v>
                      </c:pt>
                      <c:pt idx="58">
                        <c:v>47788</c:v>
                      </c:pt>
                      <c:pt idx="59">
                        <c:v>47818</c:v>
                      </c:pt>
                      <c:pt idx="60">
                        <c:v>47849</c:v>
                      </c:pt>
                      <c:pt idx="61">
                        <c:v>47880</c:v>
                      </c:pt>
                      <c:pt idx="62">
                        <c:v>47908</c:v>
                      </c:pt>
                      <c:pt idx="63">
                        <c:v>47939</c:v>
                      </c:pt>
                      <c:pt idx="64">
                        <c:v>47969</c:v>
                      </c:pt>
                      <c:pt idx="65">
                        <c:v>48000</c:v>
                      </c:pt>
                      <c:pt idx="66">
                        <c:v>48030</c:v>
                      </c:pt>
                      <c:pt idx="67">
                        <c:v>48061</c:v>
                      </c:pt>
                      <c:pt idx="68">
                        <c:v>48092</c:v>
                      </c:pt>
                      <c:pt idx="69">
                        <c:v>48122</c:v>
                      </c:pt>
                      <c:pt idx="70">
                        <c:v>48153</c:v>
                      </c:pt>
                      <c:pt idx="71">
                        <c:v>48183</c:v>
                      </c:pt>
                      <c:pt idx="72">
                        <c:v>48214</c:v>
                      </c:pt>
                      <c:pt idx="73">
                        <c:v>48245</c:v>
                      </c:pt>
                      <c:pt idx="74">
                        <c:v>48274</c:v>
                      </c:pt>
                      <c:pt idx="75">
                        <c:v>48305</c:v>
                      </c:pt>
                      <c:pt idx="76">
                        <c:v>48335</c:v>
                      </c:pt>
                      <c:pt idx="77">
                        <c:v>48366</c:v>
                      </c:pt>
                      <c:pt idx="78">
                        <c:v>48396</c:v>
                      </c:pt>
                      <c:pt idx="79">
                        <c:v>48427</c:v>
                      </c:pt>
                      <c:pt idx="80">
                        <c:v>48458</c:v>
                      </c:pt>
                      <c:pt idx="81">
                        <c:v>48488</c:v>
                      </c:pt>
                      <c:pt idx="82">
                        <c:v>48519</c:v>
                      </c:pt>
                      <c:pt idx="83">
                        <c:v>48549</c:v>
                      </c:pt>
                      <c:pt idx="84">
                        <c:v>48580</c:v>
                      </c:pt>
                      <c:pt idx="85">
                        <c:v>48611</c:v>
                      </c:pt>
                      <c:pt idx="86">
                        <c:v>48639</c:v>
                      </c:pt>
                      <c:pt idx="87">
                        <c:v>48670</c:v>
                      </c:pt>
                      <c:pt idx="88">
                        <c:v>48700</c:v>
                      </c:pt>
                      <c:pt idx="89">
                        <c:v>48731</c:v>
                      </c:pt>
                      <c:pt idx="90">
                        <c:v>48761</c:v>
                      </c:pt>
                      <c:pt idx="91">
                        <c:v>48792</c:v>
                      </c:pt>
                      <c:pt idx="92">
                        <c:v>48823</c:v>
                      </c:pt>
                      <c:pt idx="93">
                        <c:v>48853</c:v>
                      </c:pt>
                      <c:pt idx="94">
                        <c:v>48884</c:v>
                      </c:pt>
                      <c:pt idx="95">
                        <c:v>48914</c:v>
                      </c:pt>
                      <c:pt idx="96">
                        <c:v>48945</c:v>
                      </c:pt>
                      <c:pt idx="97">
                        <c:v>48976</c:v>
                      </c:pt>
                      <c:pt idx="98">
                        <c:v>49004</c:v>
                      </c:pt>
                      <c:pt idx="99">
                        <c:v>49035</c:v>
                      </c:pt>
                      <c:pt idx="100">
                        <c:v>49065</c:v>
                      </c:pt>
                      <c:pt idx="101">
                        <c:v>49096</c:v>
                      </c:pt>
                      <c:pt idx="102">
                        <c:v>49126</c:v>
                      </c:pt>
                      <c:pt idx="103">
                        <c:v>49157</c:v>
                      </c:pt>
                      <c:pt idx="104">
                        <c:v>49188</c:v>
                      </c:pt>
                      <c:pt idx="105">
                        <c:v>49218</c:v>
                      </c:pt>
                      <c:pt idx="106">
                        <c:v>49249</c:v>
                      </c:pt>
                      <c:pt idx="107">
                        <c:v>49279</c:v>
                      </c:pt>
                      <c:pt idx="108">
                        <c:v>49310</c:v>
                      </c:pt>
                      <c:pt idx="109">
                        <c:v>49341</c:v>
                      </c:pt>
                      <c:pt idx="110">
                        <c:v>49369</c:v>
                      </c:pt>
                      <c:pt idx="111">
                        <c:v>49400</c:v>
                      </c:pt>
                      <c:pt idx="112">
                        <c:v>49430</c:v>
                      </c:pt>
                      <c:pt idx="113">
                        <c:v>49461</c:v>
                      </c:pt>
                      <c:pt idx="114">
                        <c:v>49491</c:v>
                      </c:pt>
                      <c:pt idx="115">
                        <c:v>49522</c:v>
                      </c:pt>
                      <c:pt idx="116">
                        <c:v>49553</c:v>
                      </c:pt>
                      <c:pt idx="117">
                        <c:v>49583</c:v>
                      </c:pt>
                      <c:pt idx="118">
                        <c:v>49614</c:v>
                      </c:pt>
                      <c:pt idx="119">
                        <c:v>49644</c:v>
                      </c:pt>
                    </c:numCache>
                  </c:numRef>
                </c:cat>
                <c:val>
                  <c:numRef>
                    <c:extLst xmlns:c15="http://schemas.microsoft.com/office/drawing/2012/chart">
                      <c:ext xmlns:c15="http://schemas.microsoft.com/office/drawing/2012/chart" uri="{02D57815-91ED-43cb-92C2-25804820EDAC}">
                        <c15:formulaRef>
                          <c15:sqref>Rentabilité!$D$77:$D$196</c15:sqref>
                        </c15:formulaRef>
                      </c:ext>
                    </c:extLst>
                    <c:numCache>
                      <c:formatCode>"€"#,##0.00_);[Red]\("€"#,##0.00\)</c:formatCode>
                      <c:ptCount val="120"/>
                      <c:pt idx="0">
                        <c:v>-30209.3841090073</c:v>
                      </c:pt>
                      <c:pt idx="1">
                        <c:v>-30209.3841090073</c:v>
                      </c:pt>
                      <c:pt idx="2">
                        <c:v>-30209.3841090073</c:v>
                      </c:pt>
                      <c:pt idx="3">
                        <c:v>-30209.3841090073</c:v>
                      </c:pt>
                      <c:pt idx="4">
                        <c:v>-30209.3841090073</c:v>
                      </c:pt>
                      <c:pt idx="5">
                        <c:v>-30209.3841090073</c:v>
                      </c:pt>
                      <c:pt idx="6">
                        <c:v>-30209.3841090073</c:v>
                      </c:pt>
                      <c:pt idx="7">
                        <c:v>-30209.3841090073</c:v>
                      </c:pt>
                      <c:pt idx="8">
                        <c:v>-30209.3841090073</c:v>
                      </c:pt>
                      <c:pt idx="9">
                        <c:v>-30209.3841090073</c:v>
                      </c:pt>
                      <c:pt idx="10">
                        <c:v>-30209.3841090073</c:v>
                      </c:pt>
                      <c:pt idx="11">
                        <c:v>-30209.3841090073</c:v>
                      </c:pt>
                      <c:pt idx="12">
                        <c:v>-30209.3841090073</c:v>
                      </c:pt>
                      <c:pt idx="13">
                        <c:v>-30209.3841090073</c:v>
                      </c:pt>
                      <c:pt idx="14">
                        <c:v>-30209.3841090073</c:v>
                      </c:pt>
                      <c:pt idx="15">
                        <c:v>-30209.3841090073</c:v>
                      </c:pt>
                      <c:pt idx="16">
                        <c:v>-30209.3841090073</c:v>
                      </c:pt>
                      <c:pt idx="17">
                        <c:v>-30209.3841090073</c:v>
                      </c:pt>
                      <c:pt idx="18">
                        <c:v>-30209.3841090073</c:v>
                      </c:pt>
                      <c:pt idx="19">
                        <c:v>-30209.3841090073</c:v>
                      </c:pt>
                      <c:pt idx="20">
                        <c:v>-30209.3841090073</c:v>
                      </c:pt>
                      <c:pt idx="21">
                        <c:v>-30209.3841090073</c:v>
                      </c:pt>
                      <c:pt idx="22">
                        <c:v>-30209.3841090073</c:v>
                      </c:pt>
                      <c:pt idx="23">
                        <c:v>-30209.3841090073</c:v>
                      </c:pt>
                      <c:pt idx="24">
                        <c:v>-30209.3841090073</c:v>
                      </c:pt>
                      <c:pt idx="25">
                        <c:v>-30209.3841090073</c:v>
                      </c:pt>
                      <c:pt idx="26">
                        <c:v>-30209.3841090073</c:v>
                      </c:pt>
                      <c:pt idx="27">
                        <c:v>-30209.3841090073</c:v>
                      </c:pt>
                      <c:pt idx="28">
                        <c:v>-30209.3841090073</c:v>
                      </c:pt>
                      <c:pt idx="29">
                        <c:v>-30209.3841090073</c:v>
                      </c:pt>
                      <c:pt idx="30">
                        <c:v>-30209.3841090073</c:v>
                      </c:pt>
                      <c:pt idx="31">
                        <c:v>-30209.3841090073</c:v>
                      </c:pt>
                      <c:pt idx="32">
                        <c:v>-30209.3841090073</c:v>
                      </c:pt>
                      <c:pt idx="33">
                        <c:v>-30209.3841090073</c:v>
                      </c:pt>
                      <c:pt idx="34">
                        <c:v>-30209.3841090073</c:v>
                      </c:pt>
                      <c:pt idx="35">
                        <c:v>-30209.3841090073</c:v>
                      </c:pt>
                      <c:pt idx="36">
                        <c:v>-30209.3841090073</c:v>
                      </c:pt>
                      <c:pt idx="37">
                        <c:v>-30209.3841090073</c:v>
                      </c:pt>
                      <c:pt idx="38">
                        <c:v>-30209.3841090073</c:v>
                      </c:pt>
                      <c:pt idx="39">
                        <c:v>-30209.3841090073</c:v>
                      </c:pt>
                      <c:pt idx="40">
                        <c:v>-30209.3841090073</c:v>
                      </c:pt>
                      <c:pt idx="41">
                        <c:v>-30209.3841090073</c:v>
                      </c:pt>
                      <c:pt idx="42">
                        <c:v>-30209.3841090073</c:v>
                      </c:pt>
                      <c:pt idx="43">
                        <c:v>-30209.3841090073</c:v>
                      </c:pt>
                      <c:pt idx="44">
                        <c:v>-30209.3841090073</c:v>
                      </c:pt>
                      <c:pt idx="45">
                        <c:v>-30209.3841090073</c:v>
                      </c:pt>
                      <c:pt idx="46">
                        <c:v>-30209.3841090073</c:v>
                      </c:pt>
                      <c:pt idx="47">
                        <c:v>-30209.3841090073</c:v>
                      </c:pt>
                      <c:pt idx="48">
                        <c:v>-30209.3841090073</c:v>
                      </c:pt>
                      <c:pt idx="49">
                        <c:v>-30209.3841090073</c:v>
                      </c:pt>
                      <c:pt idx="50">
                        <c:v>-30209.3841090073</c:v>
                      </c:pt>
                      <c:pt idx="51">
                        <c:v>-30209.3841090073</c:v>
                      </c:pt>
                      <c:pt idx="52">
                        <c:v>-30209.3841090073</c:v>
                      </c:pt>
                      <c:pt idx="53">
                        <c:v>-30209.3841090073</c:v>
                      </c:pt>
                      <c:pt idx="54">
                        <c:v>-30209.3841090073</c:v>
                      </c:pt>
                      <c:pt idx="55">
                        <c:v>-30209.3841090073</c:v>
                      </c:pt>
                      <c:pt idx="56">
                        <c:v>-30209.3841090073</c:v>
                      </c:pt>
                      <c:pt idx="57">
                        <c:v>-30209.3841090073</c:v>
                      </c:pt>
                      <c:pt idx="58">
                        <c:v>-30209.3841090073</c:v>
                      </c:pt>
                      <c:pt idx="59">
                        <c:v>-30209.3841090073</c:v>
                      </c:pt>
                    </c:numCache>
                  </c:numRef>
                </c:val>
                <c:extLst xmlns:c15="http://schemas.microsoft.com/office/drawing/2012/chart">
                  <c:ext xmlns:c16="http://schemas.microsoft.com/office/drawing/2014/chart" uri="{C3380CC4-5D6E-409C-BE32-E72D297353CC}">
                    <c16:uniqueId val="{00000002-6F56-4358-9B4D-69BFD77C1924}"/>
                  </c:ext>
                </c:extLst>
              </c15:ser>
            </c15:filteredAreaSeries>
            <c15:filteredAreaSeries>
              <c15:ser>
                <c:idx val="3"/>
                <c:order val="3"/>
                <c:tx>
                  <c:strRef>
                    <c:extLst xmlns:c15="http://schemas.microsoft.com/office/drawing/2012/chart">
                      <c:ext xmlns:c15="http://schemas.microsoft.com/office/drawing/2012/chart" uri="{02D57815-91ED-43cb-92C2-25804820EDAC}">
                        <c15:formulaRef>
                          <c15:sqref>Rentabilité!$E$76</c15:sqref>
                        </c15:formulaRef>
                      </c:ext>
                    </c:extLst>
                    <c:strCache>
                      <c:ptCount val="1"/>
                      <c:pt idx="0">
                        <c:v>Coûts infrastructure (phase production)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extLst xmlns:c15="http://schemas.microsoft.com/office/drawing/2012/chart">
                      <c:ext xmlns:c15="http://schemas.microsoft.com/office/drawing/2012/chart" uri="{02D57815-91ED-43cb-92C2-25804820EDAC}">
                        <c15:formulaRef>
                          <c15:sqref>Rentabilité!$A$77:$A$196</c15:sqref>
                        </c15:formulaRef>
                      </c:ext>
                    </c:extLst>
                    <c:numCache>
                      <c:formatCode>mmm\-yy</c:formatCode>
                      <c:ptCount val="120"/>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pt idx="48">
                        <c:v>47484</c:v>
                      </c:pt>
                      <c:pt idx="49">
                        <c:v>47515</c:v>
                      </c:pt>
                      <c:pt idx="50">
                        <c:v>47543</c:v>
                      </c:pt>
                      <c:pt idx="51">
                        <c:v>47574</c:v>
                      </c:pt>
                      <c:pt idx="52">
                        <c:v>47604</c:v>
                      </c:pt>
                      <c:pt idx="53">
                        <c:v>47635</c:v>
                      </c:pt>
                      <c:pt idx="54">
                        <c:v>47665</c:v>
                      </c:pt>
                      <c:pt idx="55">
                        <c:v>47696</c:v>
                      </c:pt>
                      <c:pt idx="56">
                        <c:v>47727</c:v>
                      </c:pt>
                      <c:pt idx="57">
                        <c:v>47757</c:v>
                      </c:pt>
                      <c:pt idx="58">
                        <c:v>47788</c:v>
                      </c:pt>
                      <c:pt idx="59">
                        <c:v>47818</c:v>
                      </c:pt>
                      <c:pt idx="60">
                        <c:v>47849</c:v>
                      </c:pt>
                      <c:pt idx="61">
                        <c:v>47880</c:v>
                      </c:pt>
                      <c:pt idx="62">
                        <c:v>47908</c:v>
                      </c:pt>
                      <c:pt idx="63">
                        <c:v>47939</c:v>
                      </c:pt>
                      <c:pt idx="64">
                        <c:v>47969</c:v>
                      </c:pt>
                      <c:pt idx="65">
                        <c:v>48000</c:v>
                      </c:pt>
                      <c:pt idx="66">
                        <c:v>48030</c:v>
                      </c:pt>
                      <c:pt idx="67">
                        <c:v>48061</c:v>
                      </c:pt>
                      <c:pt idx="68">
                        <c:v>48092</c:v>
                      </c:pt>
                      <c:pt idx="69">
                        <c:v>48122</c:v>
                      </c:pt>
                      <c:pt idx="70">
                        <c:v>48153</c:v>
                      </c:pt>
                      <c:pt idx="71">
                        <c:v>48183</c:v>
                      </c:pt>
                      <c:pt idx="72">
                        <c:v>48214</c:v>
                      </c:pt>
                      <c:pt idx="73">
                        <c:v>48245</c:v>
                      </c:pt>
                      <c:pt idx="74">
                        <c:v>48274</c:v>
                      </c:pt>
                      <c:pt idx="75">
                        <c:v>48305</c:v>
                      </c:pt>
                      <c:pt idx="76">
                        <c:v>48335</c:v>
                      </c:pt>
                      <c:pt idx="77">
                        <c:v>48366</c:v>
                      </c:pt>
                      <c:pt idx="78">
                        <c:v>48396</c:v>
                      </c:pt>
                      <c:pt idx="79">
                        <c:v>48427</c:v>
                      </c:pt>
                      <c:pt idx="80">
                        <c:v>48458</c:v>
                      </c:pt>
                      <c:pt idx="81">
                        <c:v>48488</c:v>
                      </c:pt>
                      <c:pt idx="82">
                        <c:v>48519</c:v>
                      </c:pt>
                      <c:pt idx="83">
                        <c:v>48549</c:v>
                      </c:pt>
                      <c:pt idx="84">
                        <c:v>48580</c:v>
                      </c:pt>
                      <c:pt idx="85">
                        <c:v>48611</c:v>
                      </c:pt>
                      <c:pt idx="86">
                        <c:v>48639</c:v>
                      </c:pt>
                      <c:pt idx="87">
                        <c:v>48670</c:v>
                      </c:pt>
                      <c:pt idx="88">
                        <c:v>48700</c:v>
                      </c:pt>
                      <c:pt idx="89">
                        <c:v>48731</c:v>
                      </c:pt>
                      <c:pt idx="90">
                        <c:v>48761</c:v>
                      </c:pt>
                      <c:pt idx="91">
                        <c:v>48792</c:v>
                      </c:pt>
                      <c:pt idx="92">
                        <c:v>48823</c:v>
                      </c:pt>
                      <c:pt idx="93">
                        <c:v>48853</c:v>
                      </c:pt>
                      <c:pt idx="94">
                        <c:v>48884</c:v>
                      </c:pt>
                      <c:pt idx="95">
                        <c:v>48914</c:v>
                      </c:pt>
                      <c:pt idx="96">
                        <c:v>48945</c:v>
                      </c:pt>
                      <c:pt idx="97">
                        <c:v>48976</c:v>
                      </c:pt>
                      <c:pt idx="98">
                        <c:v>49004</c:v>
                      </c:pt>
                      <c:pt idx="99">
                        <c:v>49035</c:v>
                      </c:pt>
                      <c:pt idx="100">
                        <c:v>49065</c:v>
                      </c:pt>
                      <c:pt idx="101">
                        <c:v>49096</c:v>
                      </c:pt>
                      <c:pt idx="102">
                        <c:v>49126</c:v>
                      </c:pt>
                      <c:pt idx="103">
                        <c:v>49157</c:v>
                      </c:pt>
                      <c:pt idx="104">
                        <c:v>49188</c:v>
                      </c:pt>
                      <c:pt idx="105">
                        <c:v>49218</c:v>
                      </c:pt>
                      <c:pt idx="106">
                        <c:v>49249</c:v>
                      </c:pt>
                      <c:pt idx="107">
                        <c:v>49279</c:v>
                      </c:pt>
                      <c:pt idx="108">
                        <c:v>49310</c:v>
                      </c:pt>
                      <c:pt idx="109">
                        <c:v>49341</c:v>
                      </c:pt>
                      <c:pt idx="110">
                        <c:v>49369</c:v>
                      </c:pt>
                      <c:pt idx="111">
                        <c:v>49400</c:v>
                      </c:pt>
                      <c:pt idx="112">
                        <c:v>49430</c:v>
                      </c:pt>
                      <c:pt idx="113">
                        <c:v>49461</c:v>
                      </c:pt>
                      <c:pt idx="114">
                        <c:v>49491</c:v>
                      </c:pt>
                      <c:pt idx="115">
                        <c:v>49522</c:v>
                      </c:pt>
                      <c:pt idx="116">
                        <c:v>49553</c:v>
                      </c:pt>
                      <c:pt idx="117">
                        <c:v>49583</c:v>
                      </c:pt>
                      <c:pt idx="118">
                        <c:v>49614</c:v>
                      </c:pt>
                      <c:pt idx="119">
                        <c:v>49644</c:v>
                      </c:pt>
                    </c:numCache>
                  </c:numRef>
                </c:cat>
                <c:val>
                  <c:numRef>
                    <c:extLst xmlns:c15="http://schemas.microsoft.com/office/drawing/2012/chart">
                      <c:ext xmlns:c15="http://schemas.microsoft.com/office/drawing/2012/chart" uri="{02D57815-91ED-43cb-92C2-25804820EDAC}">
                        <c15:formulaRef>
                          <c15:sqref>Rentabilité!$E$77:$E$196</c15:sqref>
                        </c15:formulaRef>
                      </c:ext>
                    </c:extLst>
                    <c:numCache>
                      <c:formatCode>General</c:formatCode>
                      <c:ptCount val="120"/>
                      <c:pt idx="60" formatCode="&quot;€&quot;#,##0.00_);[Red]\(&quot;€&quot;#,##0.00\)">
                        <c:v>-49506.805214537257</c:v>
                      </c:pt>
                      <c:pt idx="61" formatCode="&quot;€&quot;#,##0.00_);[Red]\(&quot;€&quot;#,##0.00\)">
                        <c:v>-49506.805214537257</c:v>
                      </c:pt>
                      <c:pt idx="62" formatCode="&quot;€&quot;#,##0.00_);[Red]\(&quot;€&quot;#,##0.00\)">
                        <c:v>-49506.805214537257</c:v>
                      </c:pt>
                      <c:pt idx="63" formatCode="&quot;€&quot;#,##0.00_);[Red]\(&quot;€&quot;#,##0.00\)">
                        <c:v>-49506.805214537257</c:v>
                      </c:pt>
                      <c:pt idx="64" formatCode="&quot;€&quot;#,##0.00_);[Red]\(&quot;€&quot;#,##0.00\)">
                        <c:v>-49506.805214537257</c:v>
                      </c:pt>
                      <c:pt idx="65" formatCode="&quot;€&quot;#,##0.00_);[Red]\(&quot;€&quot;#,##0.00\)">
                        <c:v>-49506.805214537257</c:v>
                      </c:pt>
                      <c:pt idx="66" formatCode="&quot;€&quot;#,##0.00_);[Red]\(&quot;€&quot;#,##0.00\)">
                        <c:v>-49506.805214537257</c:v>
                      </c:pt>
                      <c:pt idx="67" formatCode="&quot;€&quot;#,##0.00_);[Red]\(&quot;€&quot;#,##0.00\)">
                        <c:v>-49506.805214537257</c:v>
                      </c:pt>
                      <c:pt idx="68" formatCode="&quot;€&quot;#,##0.00_);[Red]\(&quot;€&quot;#,##0.00\)">
                        <c:v>-49506.805214537257</c:v>
                      </c:pt>
                      <c:pt idx="69" formatCode="&quot;€&quot;#,##0.00_);[Red]\(&quot;€&quot;#,##0.00\)">
                        <c:v>-49506.805214537257</c:v>
                      </c:pt>
                      <c:pt idx="70" formatCode="&quot;€&quot;#,##0.00_);[Red]\(&quot;€&quot;#,##0.00\)">
                        <c:v>-49506.805214537257</c:v>
                      </c:pt>
                      <c:pt idx="71" formatCode="&quot;€&quot;#,##0.00_);[Red]\(&quot;€&quot;#,##0.00\)">
                        <c:v>-49506.805214537257</c:v>
                      </c:pt>
                      <c:pt idx="72" formatCode="&quot;€&quot;#,##0.00_);[Red]\(&quot;€&quot;#,##0.00\)">
                        <c:v>-49506.805214537257</c:v>
                      </c:pt>
                      <c:pt idx="73" formatCode="&quot;€&quot;#,##0.00_);[Red]\(&quot;€&quot;#,##0.00\)">
                        <c:v>-49506.805214537257</c:v>
                      </c:pt>
                      <c:pt idx="74" formatCode="&quot;€&quot;#,##0.00_);[Red]\(&quot;€&quot;#,##0.00\)">
                        <c:v>-49506.805214537257</c:v>
                      </c:pt>
                      <c:pt idx="75" formatCode="&quot;€&quot;#,##0.00_);[Red]\(&quot;€&quot;#,##0.00\)">
                        <c:v>-49506.805214537257</c:v>
                      </c:pt>
                      <c:pt idx="76" formatCode="&quot;€&quot;#,##0.00_);[Red]\(&quot;€&quot;#,##0.00\)">
                        <c:v>-49506.805214537257</c:v>
                      </c:pt>
                      <c:pt idx="77" formatCode="&quot;€&quot;#,##0.00_);[Red]\(&quot;€&quot;#,##0.00\)">
                        <c:v>-49506.805214537257</c:v>
                      </c:pt>
                      <c:pt idx="78" formatCode="&quot;€&quot;#,##0.00_);[Red]\(&quot;€&quot;#,##0.00\)">
                        <c:v>-49506.805214537257</c:v>
                      </c:pt>
                      <c:pt idx="79" formatCode="&quot;€&quot;#,##0.00_);[Red]\(&quot;€&quot;#,##0.00\)">
                        <c:v>-49506.805214537257</c:v>
                      </c:pt>
                      <c:pt idx="80" formatCode="&quot;€&quot;#,##0.00_);[Red]\(&quot;€&quot;#,##0.00\)">
                        <c:v>-49506.805214537257</c:v>
                      </c:pt>
                      <c:pt idx="81" formatCode="&quot;€&quot;#,##0.00_);[Red]\(&quot;€&quot;#,##0.00\)">
                        <c:v>-49506.805214537257</c:v>
                      </c:pt>
                      <c:pt idx="82" formatCode="&quot;€&quot;#,##0.00_);[Red]\(&quot;€&quot;#,##0.00\)">
                        <c:v>-49506.805214537257</c:v>
                      </c:pt>
                      <c:pt idx="83" formatCode="&quot;€&quot;#,##0.00_);[Red]\(&quot;€&quot;#,##0.00\)">
                        <c:v>-49506.805214537257</c:v>
                      </c:pt>
                      <c:pt idx="84" formatCode="&quot;€&quot;#,##0.00_);[Red]\(&quot;€&quot;#,##0.00\)">
                        <c:v>-49506.805214537257</c:v>
                      </c:pt>
                      <c:pt idx="85" formatCode="&quot;€&quot;#,##0.00_);[Red]\(&quot;€&quot;#,##0.00\)">
                        <c:v>-49506.805214537257</c:v>
                      </c:pt>
                      <c:pt idx="86" formatCode="&quot;€&quot;#,##0.00_);[Red]\(&quot;€&quot;#,##0.00\)">
                        <c:v>-49506.805214537257</c:v>
                      </c:pt>
                      <c:pt idx="87" formatCode="&quot;€&quot;#,##0.00_);[Red]\(&quot;€&quot;#,##0.00\)">
                        <c:v>-49506.805214537257</c:v>
                      </c:pt>
                      <c:pt idx="88" formatCode="&quot;€&quot;#,##0.00_);[Red]\(&quot;€&quot;#,##0.00\)">
                        <c:v>-49506.805214537257</c:v>
                      </c:pt>
                      <c:pt idx="89" formatCode="&quot;€&quot;#,##0.00_);[Red]\(&quot;€&quot;#,##0.00\)">
                        <c:v>-49506.805214537257</c:v>
                      </c:pt>
                      <c:pt idx="90" formatCode="&quot;€&quot;#,##0.00_);[Red]\(&quot;€&quot;#,##0.00\)">
                        <c:v>-49506.805214537257</c:v>
                      </c:pt>
                      <c:pt idx="91" formatCode="&quot;€&quot;#,##0.00_);[Red]\(&quot;€&quot;#,##0.00\)">
                        <c:v>-49506.805214537257</c:v>
                      </c:pt>
                      <c:pt idx="92" formatCode="&quot;€&quot;#,##0.00_);[Red]\(&quot;€&quot;#,##0.00\)">
                        <c:v>-49506.805214537257</c:v>
                      </c:pt>
                      <c:pt idx="93" formatCode="&quot;€&quot;#,##0.00_);[Red]\(&quot;€&quot;#,##0.00\)">
                        <c:v>-49506.805214537257</c:v>
                      </c:pt>
                      <c:pt idx="94" formatCode="&quot;€&quot;#,##0.00_);[Red]\(&quot;€&quot;#,##0.00\)">
                        <c:v>-49506.805214537257</c:v>
                      </c:pt>
                      <c:pt idx="95" formatCode="&quot;€&quot;#,##0.00_);[Red]\(&quot;€&quot;#,##0.00\)">
                        <c:v>-49506.805214537257</c:v>
                      </c:pt>
                      <c:pt idx="96" formatCode="&quot;€&quot;#,##0.00_);[Red]\(&quot;€&quot;#,##0.00\)">
                        <c:v>-49506.805214537257</c:v>
                      </c:pt>
                      <c:pt idx="97" formatCode="&quot;€&quot;#,##0.00_);[Red]\(&quot;€&quot;#,##0.00\)">
                        <c:v>-49506.805214537257</c:v>
                      </c:pt>
                      <c:pt idx="98" formatCode="&quot;€&quot;#,##0.00_);[Red]\(&quot;€&quot;#,##0.00\)">
                        <c:v>-49506.805214537257</c:v>
                      </c:pt>
                      <c:pt idx="99" formatCode="&quot;€&quot;#,##0.00_);[Red]\(&quot;€&quot;#,##0.00\)">
                        <c:v>-49506.805214537257</c:v>
                      </c:pt>
                      <c:pt idx="100" formatCode="&quot;€&quot;#,##0.00_);[Red]\(&quot;€&quot;#,##0.00\)">
                        <c:v>-49506.805214537257</c:v>
                      </c:pt>
                      <c:pt idx="101" formatCode="&quot;€&quot;#,##0.00_);[Red]\(&quot;€&quot;#,##0.00\)">
                        <c:v>-49506.805214537257</c:v>
                      </c:pt>
                      <c:pt idx="102" formatCode="&quot;€&quot;#,##0.00_);[Red]\(&quot;€&quot;#,##0.00\)">
                        <c:v>-49506.805214537257</c:v>
                      </c:pt>
                      <c:pt idx="103" formatCode="&quot;€&quot;#,##0.00_);[Red]\(&quot;€&quot;#,##0.00\)">
                        <c:v>-49506.805214537257</c:v>
                      </c:pt>
                      <c:pt idx="104" formatCode="&quot;€&quot;#,##0.00_);[Red]\(&quot;€&quot;#,##0.00\)">
                        <c:v>-49506.805214537257</c:v>
                      </c:pt>
                      <c:pt idx="105" formatCode="&quot;€&quot;#,##0.00_);[Red]\(&quot;€&quot;#,##0.00\)">
                        <c:v>-49506.805214537257</c:v>
                      </c:pt>
                      <c:pt idx="106" formatCode="&quot;€&quot;#,##0.00_);[Red]\(&quot;€&quot;#,##0.00\)">
                        <c:v>-49506.805214537257</c:v>
                      </c:pt>
                      <c:pt idx="107" formatCode="&quot;€&quot;#,##0.00_);[Red]\(&quot;€&quot;#,##0.00\)">
                        <c:v>-49506.805214537257</c:v>
                      </c:pt>
                      <c:pt idx="108" formatCode="&quot;€&quot;#,##0.00_);[Red]\(&quot;€&quot;#,##0.00\)">
                        <c:v>-49506.805214537257</c:v>
                      </c:pt>
                      <c:pt idx="109" formatCode="&quot;€&quot;#,##0.00_);[Red]\(&quot;€&quot;#,##0.00\)">
                        <c:v>-49506.805214537257</c:v>
                      </c:pt>
                      <c:pt idx="110" formatCode="&quot;€&quot;#,##0.00_);[Red]\(&quot;€&quot;#,##0.00\)">
                        <c:v>-49506.805214537257</c:v>
                      </c:pt>
                      <c:pt idx="111" formatCode="&quot;€&quot;#,##0.00_);[Red]\(&quot;€&quot;#,##0.00\)">
                        <c:v>-49506.805214537257</c:v>
                      </c:pt>
                      <c:pt idx="112" formatCode="&quot;€&quot;#,##0.00_);[Red]\(&quot;€&quot;#,##0.00\)">
                        <c:v>-49506.805214537257</c:v>
                      </c:pt>
                      <c:pt idx="113" formatCode="&quot;€&quot;#,##0.00_);[Red]\(&quot;€&quot;#,##0.00\)">
                        <c:v>-49506.805214537257</c:v>
                      </c:pt>
                      <c:pt idx="114" formatCode="&quot;€&quot;#,##0.00_);[Red]\(&quot;€&quot;#,##0.00\)">
                        <c:v>-49506.805214537257</c:v>
                      </c:pt>
                      <c:pt idx="115" formatCode="&quot;€&quot;#,##0.00_);[Red]\(&quot;€&quot;#,##0.00\)">
                        <c:v>-49506.805214537257</c:v>
                      </c:pt>
                      <c:pt idx="116" formatCode="&quot;€&quot;#,##0.00_);[Red]\(&quot;€&quot;#,##0.00\)">
                        <c:v>-49506.805214537257</c:v>
                      </c:pt>
                      <c:pt idx="117" formatCode="&quot;€&quot;#,##0.00_);[Red]\(&quot;€&quot;#,##0.00\)">
                        <c:v>-49506.805214537257</c:v>
                      </c:pt>
                      <c:pt idx="118" formatCode="&quot;€&quot;#,##0.00_);[Red]\(&quot;€&quot;#,##0.00\)">
                        <c:v>-49506.805214537257</c:v>
                      </c:pt>
                      <c:pt idx="119" formatCode="&quot;€&quot;#,##0.00_);[Red]\(&quot;€&quot;#,##0.00\)">
                        <c:v>-49506.805214537257</c:v>
                      </c:pt>
                    </c:numCache>
                  </c:numRef>
                </c:val>
                <c:extLst xmlns:c15="http://schemas.microsoft.com/office/drawing/2012/chart">
                  <c:ext xmlns:c16="http://schemas.microsoft.com/office/drawing/2014/chart" uri="{C3380CC4-5D6E-409C-BE32-E72D297353CC}">
                    <c16:uniqueId val="{00000003-6F56-4358-9B4D-69BFD77C1924}"/>
                  </c:ext>
                </c:extLst>
              </c15:ser>
            </c15:filteredAreaSeries>
            <c15:filteredAreaSeries>
              <c15:ser>
                <c:idx val="4"/>
                <c:order val="4"/>
                <c:tx>
                  <c:strRef>
                    <c:extLst xmlns:c15="http://schemas.microsoft.com/office/drawing/2012/chart">
                      <c:ext xmlns:c15="http://schemas.microsoft.com/office/drawing/2012/chart" uri="{02D57815-91ED-43cb-92C2-25804820EDAC}">
                        <c15:formulaRef>
                          <c15:sqref>Rentabilité!$F$76</c15:sqref>
                        </c15:formulaRef>
                      </c:ext>
                    </c:extLst>
                    <c:strCache>
                      <c:ptCount val="1"/>
                      <c:pt idx="0">
                        <c:v>Coûts de maintenances (30% de l'infrastructure de prod)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extLst xmlns:c15="http://schemas.microsoft.com/office/drawing/2012/chart">
                      <c:ext xmlns:c15="http://schemas.microsoft.com/office/drawing/2012/chart" uri="{02D57815-91ED-43cb-92C2-25804820EDAC}">
                        <c15:formulaRef>
                          <c15:sqref>Rentabilité!$A$77:$A$196</c15:sqref>
                        </c15:formulaRef>
                      </c:ext>
                    </c:extLst>
                    <c:numCache>
                      <c:formatCode>mmm\-yy</c:formatCode>
                      <c:ptCount val="120"/>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pt idx="48">
                        <c:v>47484</c:v>
                      </c:pt>
                      <c:pt idx="49">
                        <c:v>47515</c:v>
                      </c:pt>
                      <c:pt idx="50">
                        <c:v>47543</c:v>
                      </c:pt>
                      <c:pt idx="51">
                        <c:v>47574</c:v>
                      </c:pt>
                      <c:pt idx="52">
                        <c:v>47604</c:v>
                      </c:pt>
                      <c:pt idx="53">
                        <c:v>47635</c:v>
                      </c:pt>
                      <c:pt idx="54">
                        <c:v>47665</c:v>
                      </c:pt>
                      <c:pt idx="55">
                        <c:v>47696</c:v>
                      </c:pt>
                      <c:pt idx="56">
                        <c:v>47727</c:v>
                      </c:pt>
                      <c:pt idx="57">
                        <c:v>47757</c:v>
                      </c:pt>
                      <c:pt idx="58">
                        <c:v>47788</c:v>
                      </c:pt>
                      <c:pt idx="59">
                        <c:v>47818</c:v>
                      </c:pt>
                      <c:pt idx="60">
                        <c:v>47849</c:v>
                      </c:pt>
                      <c:pt idx="61">
                        <c:v>47880</c:v>
                      </c:pt>
                      <c:pt idx="62">
                        <c:v>47908</c:v>
                      </c:pt>
                      <c:pt idx="63">
                        <c:v>47939</c:v>
                      </c:pt>
                      <c:pt idx="64">
                        <c:v>47969</c:v>
                      </c:pt>
                      <c:pt idx="65">
                        <c:v>48000</c:v>
                      </c:pt>
                      <c:pt idx="66">
                        <c:v>48030</c:v>
                      </c:pt>
                      <c:pt idx="67">
                        <c:v>48061</c:v>
                      </c:pt>
                      <c:pt idx="68">
                        <c:v>48092</c:v>
                      </c:pt>
                      <c:pt idx="69">
                        <c:v>48122</c:v>
                      </c:pt>
                      <c:pt idx="70">
                        <c:v>48153</c:v>
                      </c:pt>
                      <c:pt idx="71">
                        <c:v>48183</c:v>
                      </c:pt>
                      <c:pt idx="72">
                        <c:v>48214</c:v>
                      </c:pt>
                      <c:pt idx="73">
                        <c:v>48245</c:v>
                      </c:pt>
                      <c:pt idx="74">
                        <c:v>48274</c:v>
                      </c:pt>
                      <c:pt idx="75">
                        <c:v>48305</c:v>
                      </c:pt>
                      <c:pt idx="76">
                        <c:v>48335</c:v>
                      </c:pt>
                      <c:pt idx="77">
                        <c:v>48366</c:v>
                      </c:pt>
                      <c:pt idx="78">
                        <c:v>48396</c:v>
                      </c:pt>
                      <c:pt idx="79">
                        <c:v>48427</c:v>
                      </c:pt>
                      <c:pt idx="80">
                        <c:v>48458</c:v>
                      </c:pt>
                      <c:pt idx="81">
                        <c:v>48488</c:v>
                      </c:pt>
                      <c:pt idx="82">
                        <c:v>48519</c:v>
                      </c:pt>
                      <c:pt idx="83">
                        <c:v>48549</c:v>
                      </c:pt>
                      <c:pt idx="84">
                        <c:v>48580</c:v>
                      </c:pt>
                      <c:pt idx="85">
                        <c:v>48611</c:v>
                      </c:pt>
                      <c:pt idx="86">
                        <c:v>48639</c:v>
                      </c:pt>
                      <c:pt idx="87">
                        <c:v>48670</c:v>
                      </c:pt>
                      <c:pt idx="88">
                        <c:v>48700</c:v>
                      </c:pt>
                      <c:pt idx="89">
                        <c:v>48731</c:v>
                      </c:pt>
                      <c:pt idx="90">
                        <c:v>48761</c:v>
                      </c:pt>
                      <c:pt idx="91">
                        <c:v>48792</c:v>
                      </c:pt>
                      <c:pt idx="92">
                        <c:v>48823</c:v>
                      </c:pt>
                      <c:pt idx="93">
                        <c:v>48853</c:v>
                      </c:pt>
                      <c:pt idx="94">
                        <c:v>48884</c:v>
                      </c:pt>
                      <c:pt idx="95">
                        <c:v>48914</c:v>
                      </c:pt>
                      <c:pt idx="96">
                        <c:v>48945</c:v>
                      </c:pt>
                      <c:pt idx="97">
                        <c:v>48976</c:v>
                      </c:pt>
                      <c:pt idx="98">
                        <c:v>49004</c:v>
                      </c:pt>
                      <c:pt idx="99">
                        <c:v>49035</c:v>
                      </c:pt>
                      <c:pt idx="100">
                        <c:v>49065</c:v>
                      </c:pt>
                      <c:pt idx="101">
                        <c:v>49096</c:v>
                      </c:pt>
                      <c:pt idx="102">
                        <c:v>49126</c:v>
                      </c:pt>
                      <c:pt idx="103">
                        <c:v>49157</c:v>
                      </c:pt>
                      <c:pt idx="104">
                        <c:v>49188</c:v>
                      </c:pt>
                      <c:pt idx="105">
                        <c:v>49218</c:v>
                      </c:pt>
                      <c:pt idx="106">
                        <c:v>49249</c:v>
                      </c:pt>
                      <c:pt idx="107">
                        <c:v>49279</c:v>
                      </c:pt>
                      <c:pt idx="108">
                        <c:v>49310</c:v>
                      </c:pt>
                      <c:pt idx="109">
                        <c:v>49341</c:v>
                      </c:pt>
                      <c:pt idx="110">
                        <c:v>49369</c:v>
                      </c:pt>
                      <c:pt idx="111">
                        <c:v>49400</c:v>
                      </c:pt>
                      <c:pt idx="112">
                        <c:v>49430</c:v>
                      </c:pt>
                      <c:pt idx="113">
                        <c:v>49461</c:v>
                      </c:pt>
                      <c:pt idx="114">
                        <c:v>49491</c:v>
                      </c:pt>
                      <c:pt idx="115">
                        <c:v>49522</c:v>
                      </c:pt>
                      <c:pt idx="116">
                        <c:v>49553</c:v>
                      </c:pt>
                      <c:pt idx="117">
                        <c:v>49583</c:v>
                      </c:pt>
                      <c:pt idx="118">
                        <c:v>49614</c:v>
                      </c:pt>
                      <c:pt idx="119">
                        <c:v>49644</c:v>
                      </c:pt>
                    </c:numCache>
                  </c:numRef>
                </c:cat>
                <c:val>
                  <c:numRef>
                    <c:extLst xmlns:c15="http://schemas.microsoft.com/office/drawing/2012/chart">
                      <c:ext xmlns:c15="http://schemas.microsoft.com/office/drawing/2012/chart" uri="{02D57815-91ED-43cb-92C2-25804820EDAC}">
                        <c15:formulaRef>
                          <c15:sqref>Rentabilité!$F$77:$F$196</c15:sqref>
                        </c15:formulaRef>
                      </c:ext>
                    </c:extLst>
                    <c:numCache>
                      <c:formatCode>General</c:formatCode>
                      <c:ptCount val="120"/>
                      <c:pt idx="60" formatCode="&quot;€&quot;#,##0.00_);[Red]\(&quot;€&quot;#,##0.00\)">
                        <c:v>-19551.020782180589</c:v>
                      </c:pt>
                      <c:pt idx="61" formatCode="&quot;€&quot;#,##0.00_);[Red]\(&quot;€&quot;#,##0.00\)">
                        <c:v>-19551.020782180589</c:v>
                      </c:pt>
                      <c:pt idx="62" formatCode="&quot;€&quot;#,##0.00_);[Red]\(&quot;€&quot;#,##0.00\)">
                        <c:v>-19551.020782180589</c:v>
                      </c:pt>
                      <c:pt idx="63" formatCode="&quot;€&quot;#,##0.00_);[Red]\(&quot;€&quot;#,##0.00\)">
                        <c:v>-19551.020782180589</c:v>
                      </c:pt>
                      <c:pt idx="64" formatCode="&quot;€&quot;#,##0.00_);[Red]\(&quot;€&quot;#,##0.00\)">
                        <c:v>-19551.020782180589</c:v>
                      </c:pt>
                      <c:pt idx="65" formatCode="&quot;€&quot;#,##0.00_);[Red]\(&quot;€&quot;#,##0.00\)">
                        <c:v>-19551.020782180589</c:v>
                      </c:pt>
                      <c:pt idx="66" formatCode="&quot;€&quot;#,##0.00_);[Red]\(&quot;€&quot;#,##0.00\)">
                        <c:v>-19551.020782180589</c:v>
                      </c:pt>
                      <c:pt idx="67" formatCode="&quot;€&quot;#,##0.00_);[Red]\(&quot;€&quot;#,##0.00\)">
                        <c:v>-19551.020782180589</c:v>
                      </c:pt>
                      <c:pt idx="68" formatCode="&quot;€&quot;#,##0.00_);[Red]\(&quot;€&quot;#,##0.00\)">
                        <c:v>-19551.020782180589</c:v>
                      </c:pt>
                      <c:pt idx="69" formatCode="&quot;€&quot;#,##0.00_);[Red]\(&quot;€&quot;#,##0.00\)">
                        <c:v>-19551.020782180589</c:v>
                      </c:pt>
                      <c:pt idx="70" formatCode="&quot;€&quot;#,##0.00_);[Red]\(&quot;€&quot;#,##0.00\)">
                        <c:v>-19551.020782180589</c:v>
                      </c:pt>
                      <c:pt idx="71" formatCode="&quot;€&quot;#,##0.00_);[Red]\(&quot;€&quot;#,##0.00\)">
                        <c:v>-19551.020782180589</c:v>
                      </c:pt>
                      <c:pt idx="72" formatCode="&quot;€&quot;#,##0.00_);[Red]\(&quot;€&quot;#,##0.00\)">
                        <c:v>-19551.020782180589</c:v>
                      </c:pt>
                      <c:pt idx="73" formatCode="&quot;€&quot;#,##0.00_);[Red]\(&quot;€&quot;#,##0.00\)">
                        <c:v>-19551.020782180589</c:v>
                      </c:pt>
                      <c:pt idx="74" formatCode="&quot;€&quot;#,##0.00_);[Red]\(&quot;€&quot;#,##0.00\)">
                        <c:v>-19551.020782180589</c:v>
                      </c:pt>
                      <c:pt idx="75" formatCode="&quot;€&quot;#,##0.00_);[Red]\(&quot;€&quot;#,##0.00\)">
                        <c:v>-19551.020782180589</c:v>
                      </c:pt>
                      <c:pt idx="76" formatCode="&quot;€&quot;#,##0.00_);[Red]\(&quot;€&quot;#,##0.00\)">
                        <c:v>-19551.020782180589</c:v>
                      </c:pt>
                      <c:pt idx="77" formatCode="&quot;€&quot;#,##0.00_);[Red]\(&quot;€&quot;#,##0.00\)">
                        <c:v>-19551.020782180589</c:v>
                      </c:pt>
                      <c:pt idx="78" formatCode="&quot;€&quot;#,##0.00_);[Red]\(&quot;€&quot;#,##0.00\)">
                        <c:v>-19551.020782180589</c:v>
                      </c:pt>
                      <c:pt idx="79" formatCode="&quot;€&quot;#,##0.00_);[Red]\(&quot;€&quot;#,##0.00\)">
                        <c:v>-19551.020782180589</c:v>
                      </c:pt>
                      <c:pt idx="80" formatCode="&quot;€&quot;#,##0.00_);[Red]\(&quot;€&quot;#,##0.00\)">
                        <c:v>-19551.020782180589</c:v>
                      </c:pt>
                      <c:pt idx="81" formatCode="&quot;€&quot;#,##0.00_);[Red]\(&quot;€&quot;#,##0.00\)">
                        <c:v>-19551.020782180589</c:v>
                      </c:pt>
                      <c:pt idx="82" formatCode="&quot;€&quot;#,##0.00_);[Red]\(&quot;€&quot;#,##0.00\)">
                        <c:v>-19551.020782180589</c:v>
                      </c:pt>
                      <c:pt idx="83" formatCode="&quot;€&quot;#,##0.00_);[Red]\(&quot;€&quot;#,##0.00\)">
                        <c:v>-19551.020782180589</c:v>
                      </c:pt>
                      <c:pt idx="84" formatCode="&quot;€&quot;#,##0.00_);[Red]\(&quot;€&quot;#,##0.00\)">
                        <c:v>-19551.020782180589</c:v>
                      </c:pt>
                      <c:pt idx="85" formatCode="&quot;€&quot;#,##0.00_);[Red]\(&quot;€&quot;#,##0.00\)">
                        <c:v>-19551.020782180589</c:v>
                      </c:pt>
                      <c:pt idx="86" formatCode="&quot;€&quot;#,##0.00_);[Red]\(&quot;€&quot;#,##0.00\)">
                        <c:v>-19551.020782180589</c:v>
                      </c:pt>
                      <c:pt idx="87" formatCode="&quot;€&quot;#,##0.00_);[Red]\(&quot;€&quot;#,##0.00\)">
                        <c:v>-19551.020782180589</c:v>
                      </c:pt>
                      <c:pt idx="88" formatCode="&quot;€&quot;#,##0.00_);[Red]\(&quot;€&quot;#,##0.00\)">
                        <c:v>-19551.020782180589</c:v>
                      </c:pt>
                      <c:pt idx="89" formatCode="&quot;€&quot;#,##0.00_);[Red]\(&quot;€&quot;#,##0.00\)">
                        <c:v>-19551.020782180589</c:v>
                      </c:pt>
                      <c:pt idx="90" formatCode="&quot;€&quot;#,##0.00_);[Red]\(&quot;€&quot;#,##0.00\)">
                        <c:v>-19551.020782180589</c:v>
                      </c:pt>
                      <c:pt idx="91" formatCode="&quot;€&quot;#,##0.00_);[Red]\(&quot;€&quot;#,##0.00\)">
                        <c:v>-19551.020782180589</c:v>
                      </c:pt>
                      <c:pt idx="92" formatCode="&quot;€&quot;#,##0.00_);[Red]\(&quot;€&quot;#,##0.00\)">
                        <c:v>-19551.020782180589</c:v>
                      </c:pt>
                      <c:pt idx="93" formatCode="&quot;€&quot;#,##0.00_);[Red]\(&quot;€&quot;#,##0.00\)">
                        <c:v>-19551.020782180589</c:v>
                      </c:pt>
                      <c:pt idx="94" formatCode="&quot;€&quot;#,##0.00_);[Red]\(&quot;€&quot;#,##0.00\)">
                        <c:v>-19551.020782180589</c:v>
                      </c:pt>
                      <c:pt idx="95" formatCode="&quot;€&quot;#,##0.00_);[Red]\(&quot;€&quot;#,##0.00\)">
                        <c:v>-19551.020782180589</c:v>
                      </c:pt>
                      <c:pt idx="96" formatCode="&quot;€&quot;#,##0.00_);[Red]\(&quot;€&quot;#,##0.00\)">
                        <c:v>-19551.020782180589</c:v>
                      </c:pt>
                      <c:pt idx="97" formatCode="&quot;€&quot;#,##0.00_);[Red]\(&quot;€&quot;#,##0.00\)">
                        <c:v>-19551.020782180589</c:v>
                      </c:pt>
                      <c:pt idx="98" formatCode="&quot;€&quot;#,##0.00_);[Red]\(&quot;€&quot;#,##0.00\)">
                        <c:v>-19551.020782180589</c:v>
                      </c:pt>
                      <c:pt idx="99" formatCode="&quot;€&quot;#,##0.00_);[Red]\(&quot;€&quot;#,##0.00\)">
                        <c:v>-19551.020782180589</c:v>
                      </c:pt>
                      <c:pt idx="100" formatCode="&quot;€&quot;#,##0.00_);[Red]\(&quot;€&quot;#,##0.00\)">
                        <c:v>-19551.020782180589</c:v>
                      </c:pt>
                      <c:pt idx="101" formatCode="&quot;€&quot;#,##0.00_);[Red]\(&quot;€&quot;#,##0.00\)">
                        <c:v>-19551.020782180589</c:v>
                      </c:pt>
                      <c:pt idx="102" formatCode="&quot;€&quot;#,##0.00_);[Red]\(&quot;€&quot;#,##0.00\)">
                        <c:v>-19551.020782180589</c:v>
                      </c:pt>
                      <c:pt idx="103" formatCode="&quot;€&quot;#,##0.00_);[Red]\(&quot;€&quot;#,##0.00\)">
                        <c:v>-19551.020782180589</c:v>
                      </c:pt>
                      <c:pt idx="104" formatCode="&quot;€&quot;#,##0.00_);[Red]\(&quot;€&quot;#,##0.00\)">
                        <c:v>-19551.020782180589</c:v>
                      </c:pt>
                      <c:pt idx="105" formatCode="&quot;€&quot;#,##0.00_);[Red]\(&quot;€&quot;#,##0.00\)">
                        <c:v>-19551.020782180589</c:v>
                      </c:pt>
                      <c:pt idx="106" formatCode="&quot;€&quot;#,##0.00_);[Red]\(&quot;€&quot;#,##0.00\)">
                        <c:v>-19551.020782180589</c:v>
                      </c:pt>
                      <c:pt idx="107" formatCode="&quot;€&quot;#,##0.00_);[Red]\(&quot;€&quot;#,##0.00\)">
                        <c:v>-19551.020782180589</c:v>
                      </c:pt>
                      <c:pt idx="108" formatCode="&quot;€&quot;#,##0.00_);[Red]\(&quot;€&quot;#,##0.00\)">
                        <c:v>-19551.020782180589</c:v>
                      </c:pt>
                      <c:pt idx="109" formatCode="&quot;€&quot;#,##0.00_);[Red]\(&quot;€&quot;#,##0.00\)">
                        <c:v>-19551.020782180589</c:v>
                      </c:pt>
                      <c:pt idx="110" formatCode="&quot;€&quot;#,##0.00_);[Red]\(&quot;€&quot;#,##0.00\)">
                        <c:v>-19551.020782180589</c:v>
                      </c:pt>
                      <c:pt idx="111" formatCode="&quot;€&quot;#,##0.00_);[Red]\(&quot;€&quot;#,##0.00\)">
                        <c:v>-19551.020782180589</c:v>
                      </c:pt>
                      <c:pt idx="112" formatCode="&quot;€&quot;#,##0.00_);[Red]\(&quot;€&quot;#,##0.00\)">
                        <c:v>-19551.020782180589</c:v>
                      </c:pt>
                      <c:pt idx="113" formatCode="&quot;€&quot;#,##0.00_);[Red]\(&quot;€&quot;#,##0.00\)">
                        <c:v>-19551.020782180589</c:v>
                      </c:pt>
                      <c:pt idx="114" formatCode="&quot;€&quot;#,##0.00_);[Red]\(&quot;€&quot;#,##0.00\)">
                        <c:v>-19551.020782180589</c:v>
                      </c:pt>
                      <c:pt idx="115" formatCode="&quot;€&quot;#,##0.00_);[Red]\(&quot;€&quot;#,##0.00\)">
                        <c:v>-19551.020782180589</c:v>
                      </c:pt>
                      <c:pt idx="116" formatCode="&quot;€&quot;#,##0.00_);[Red]\(&quot;€&quot;#,##0.00\)">
                        <c:v>-19551.020782180589</c:v>
                      </c:pt>
                      <c:pt idx="117" formatCode="&quot;€&quot;#,##0.00_);[Red]\(&quot;€&quot;#,##0.00\)">
                        <c:v>-19551.020782180589</c:v>
                      </c:pt>
                      <c:pt idx="118" formatCode="&quot;€&quot;#,##0.00_);[Red]\(&quot;€&quot;#,##0.00\)">
                        <c:v>-19551.020782180589</c:v>
                      </c:pt>
                      <c:pt idx="119" formatCode="&quot;€&quot;#,##0.00_);[Red]\(&quot;€&quot;#,##0.00\)">
                        <c:v>-19551.020782180589</c:v>
                      </c:pt>
                    </c:numCache>
                  </c:numRef>
                </c:val>
                <c:extLst xmlns:c15="http://schemas.microsoft.com/office/drawing/2012/chart">
                  <c:ext xmlns:c16="http://schemas.microsoft.com/office/drawing/2014/chart" uri="{C3380CC4-5D6E-409C-BE32-E72D297353CC}">
                    <c16:uniqueId val="{00000004-6F56-4358-9B4D-69BFD77C1924}"/>
                  </c:ext>
                </c:extLst>
              </c15:ser>
            </c15:filteredAreaSeries>
            <c15:filteredAreaSeries>
              <c15:ser>
                <c:idx val="5"/>
                <c:order val="5"/>
                <c:tx>
                  <c:strRef>
                    <c:extLst xmlns:c15="http://schemas.microsoft.com/office/drawing/2012/chart">
                      <c:ext xmlns:c15="http://schemas.microsoft.com/office/drawing/2012/chart" uri="{02D57815-91ED-43cb-92C2-25804820EDAC}">
                        <c15:formulaRef>
                          <c15:sqref>Rentabilité!$G$76</c15:sqref>
                        </c15:formulaRef>
                      </c:ext>
                    </c:extLst>
                    <c:strCache>
                      <c:ptCount val="1"/>
                      <c:pt idx="0">
                        <c:v>Cumul des coûts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extLst xmlns:c15="http://schemas.microsoft.com/office/drawing/2012/chart">
                      <c:ext xmlns:c15="http://schemas.microsoft.com/office/drawing/2012/chart" uri="{02D57815-91ED-43cb-92C2-25804820EDAC}">
                        <c15:formulaRef>
                          <c15:sqref>Rentabilité!$A$77:$A$196</c15:sqref>
                        </c15:formulaRef>
                      </c:ext>
                    </c:extLst>
                    <c:numCache>
                      <c:formatCode>mmm\-yy</c:formatCode>
                      <c:ptCount val="120"/>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pt idx="48">
                        <c:v>47484</c:v>
                      </c:pt>
                      <c:pt idx="49">
                        <c:v>47515</c:v>
                      </c:pt>
                      <c:pt idx="50">
                        <c:v>47543</c:v>
                      </c:pt>
                      <c:pt idx="51">
                        <c:v>47574</c:v>
                      </c:pt>
                      <c:pt idx="52">
                        <c:v>47604</c:v>
                      </c:pt>
                      <c:pt idx="53">
                        <c:v>47635</c:v>
                      </c:pt>
                      <c:pt idx="54">
                        <c:v>47665</c:v>
                      </c:pt>
                      <c:pt idx="55">
                        <c:v>47696</c:v>
                      </c:pt>
                      <c:pt idx="56">
                        <c:v>47727</c:v>
                      </c:pt>
                      <c:pt idx="57">
                        <c:v>47757</c:v>
                      </c:pt>
                      <c:pt idx="58">
                        <c:v>47788</c:v>
                      </c:pt>
                      <c:pt idx="59">
                        <c:v>47818</c:v>
                      </c:pt>
                      <c:pt idx="60">
                        <c:v>47849</c:v>
                      </c:pt>
                      <c:pt idx="61">
                        <c:v>47880</c:v>
                      </c:pt>
                      <c:pt idx="62">
                        <c:v>47908</c:v>
                      </c:pt>
                      <c:pt idx="63">
                        <c:v>47939</c:v>
                      </c:pt>
                      <c:pt idx="64">
                        <c:v>47969</c:v>
                      </c:pt>
                      <c:pt idx="65">
                        <c:v>48000</c:v>
                      </c:pt>
                      <c:pt idx="66">
                        <c:v>48030</c:v>
                      </c:pt>
                      <c:pt idx="67">
                        <c:v>48061</c:v>
                      </c:pt>
                      <c:pt idx="68">
                        <c:v>48092</c:v>
                      </c:pt>
                      <c:pt idx="69">
                        <c:v>48122</c:v>
                      </c:pt>
                      <c:pt idx="70">
                        <c:v>48153</c:v>
                      </c:pt>
                      <c:pt idx="71">
                        <c:v>48183</c:v>
                      </c:pt>
                      <c:pt idx="72">
                        <c:v>48214</c:v>
                      </c:pt>
                      <c:pt idx="73">
                        <c:v>48245</c:v>
                      </c:pt>
                      <c:pt idx="74">
                        <c:v>48274</c:v>
                      </c:pt>
                      <c:pt idx="75">
                        <c:v>48305</c:v>
                      </c:pt>
                      <c:pt idx="76">
                        <c:v>48335</c:v>
                      </c:pt>
                      <c:pt idx="77">
                        <c:v>48366</c:v>
                      </c:pt>
                      <c:pt idx="78">
                        <c:v>48396</c:v>
                      </c:pt>
                      <c:pt idx="79">
                        <c:v>48427</c:v>
                      </c:pt>
                      <c:pt idx="80">
                        <c:v>48458</c:v>
                      </c:pt>
                      <c:pt idx="81">
                        <c:v>48488</c:v>
                      </c:pt>
                      <c:pt idx="82">
                        <c:v>48519</c:v>
                      </c:pt>
                      <c:pt idx="83">
                        <c:v>48549</c:v>
                      </c:pt>
                      <c:pt idx="84">
                        <c:v>48580</c:v>
                      </c:pt>
                      <c:pt idx="85">
                        <c:v>48611</c:v>
                      </c:pt>
                      <c:pt idx="86">
                        <c:v>48639</c:v>
                      </c:pt>
                      <c:pt idx="87">
                        <c:v>48670</c:v>
                      </c:pt>
                      <c:pt idx="88">
                        <c:v>48700</c:v>
                      </c:pt>
                      <c:pt idx="89">
                        <c:v>48731</c:v>
                      </c:pt>
                      <c:pt idx="90">
                        <c:v>48761</c:v>
                      </c:pt>
                      <c:pt idx="91">
                        <c:v>48792</c:v>
                      </c:pt>
                      <c:pt idx="92">
                        <c:v>48823</c:v>
                      </c:pt>
                      <c:pt idx="93">
                        <c:v>48853</c:v>
                      </c:pt>
                      <c:pt idx="94">
                        <c:v>48884</c:v>
                      </c:pt>
                      <c:pt idx="95">
                        <c:v>48914</c:v>
                      </c:pt>
                      <c:pt idx="96">
                        <c:v>48945</c:v>
                      </c:pt>
                      <c:pt idx="97">
                        <c:v>48976</c:v>
                      </c:pt>
                      <c:pt idx="98">
                        <c:v>49004</c:v>
                      </c:pt>
                      <c:pt idx="99">
                        <c:v>49035</c:v>
                      </c:pt>
                      <c:pt idx="100">
                        <c:v>49065</c:v>
                      </c:pt>
                      <c:pt idx="101">
                        <c:v>49096</c:v>
                      </c:pt>
                      <c:pt idx="102">
                        <c:v>49126</c:v>
                      </c:pt>
                      <c:pt idx="103">
                        <c:v>49157</c:v>
                      </c:pt>
                      <c:pt idx="104">
                        <c:v>49188</c:v>
                      </c:pt>
                      <c:pt idx="105">
                        <c:v>49218</c:v>
                      </c:pt>
                      <c:pt idx="106">
                        <c:v>49249</c:v>
                      </c:pt>
                      <c:pt idx="107">
                        <c:v>49279</c:v>
                      </c:pt>
                      <c:pt idx="108">
                        <c:v>49310</c:v>
                      </c:pt>
                      <c:pt idx="109">
                        <c:v>49341</c:v>
                      </c:pt>
                      <c:pt idx="110">
                        <c:v>49369</c:v>
                      </c:pt>
                      <c:pt idx="111">
                        <c:v>49400</c:v>
                      </c:pt>
                      <c:pt idx="112">
                        <c:v>49430</c:v>
                      </c:pt>
                      <c:pt idx="113">
                        <c:v>49461</c:v>
                      </c:pt>
                      <c:pt idx="114">
                        <c:v>49491</c:v>
                      </c:pt>
                      <c:pt idx="115">
                        <c:v>49522</c:v>
                      </c:pt>
                      <c:pt idx="116">
                        <c:v>49553</c:v>
                      </c:pt>
                      <c:pt idx="117">
                        <c:v>49583</c:v>
                      </c:pt>
                      <c:pt idx="118">
                        <c:v>49614</c:v>
                      </c:pt>
                      <c:pt idx="119">
                        <c:v>49644</c:v>
                      </c:pt>
                    </c:numCache>
                  </c:numRef>
                </c:cat>
                <c:val>
                  <c:numRef>
                    <c:extLst xmlns:c15="http://schemas.microsoft.com/office/drawing/2012/chart">
                      <c:ext xmlns:c15="http://schemas.microsoft.com/office/drawing/2012/chart" uri="{02D57815-91ED-43cb-92C2-25804820EDAC}">
                        <c15:formulaRef>
                          <c15:sqref>Rentabilité!$G$77:$G$196</c15:sqref>
                        </c15:formulaRef>
                      </c:ext>
                    </c:extLst>
                    <c:numCache>
                      <c:formatCode>_("€"* #,##0.00_);_("€"* \(#,##0.00\);_("€"* "-"??_);_(@_)</c:formatCode>
                      <c:ptCount val="120"/>
                      <c:pt idx="0">
                        <c:v>-111042.71744234064</c:v>
                      </c:pt>
                      <c:pt idx="1">
                        <c:v>-222085.43488468128</c:v>
                      </c:pt>
                      <c:pt idx="2">
                        <c:v>-333128.15232702193</c:v>
                      </c:pt>
                      <c:pt idx="3">
                        <c:v>-444170.86976936256</c:v>
                      </c:pt>
                      <c:pt idx="4">
                        <c:v>-555213.58721170318</c:v>
                      </c:pt>
                      <c:pt idx="5">
                        <c:v>-666256.30465404387</c:v>
                      </c:pt>
                      <c:pt idx="6">
                        <c:v>-777299.02209638455</c:v>
                      </c:pt>
                      <c:pt idx="7">
                        <c:v>-888341.73953872523</c:v>
                      </c:pt>
                      <c:pt idx="8">
                        <c:v>-999384.45698106592</c:v>
                      </c:pt>
                      <c:pt idx="9">
                        <c:v>-1110427.1744234066</c:v>
                      </c:pt>
                      <c:pt idx="10">
                        <c:v>-1221469.8918657473</c:v>
                      </c:pt>
                      <c:pt idx="11">
                        <c:v>-1332512.609308088</c:v>
                      </c:pt>
                      <c:pt idx="12">
                        <c:v>-1443555.3267504286</c:v>
                      </c:pt>
                      <c:pt idx="13">
                        <c:v>-1554598.0441927693</c:v>
                      </c:pt>
                      <c:pt idx="14">
                        <c:v>-1665640.76163511</c:v>
                      </c:pt>
                      <c:pt idx="15">
                        <c:v>-1776683.4790774507</c:v>
                      </c:pt>
                      <c:pt idx="16">
                        <c:v>-1887726.1965197914</c:v>
                      </c:pt>
                      <c:pt idx="17">
                        <c:v>-1998768.9139621321</c:v>
                      </c:pt>
                      <c:pt idx="18">
                        <c:v>-2109811.6314044725</c:v>
                      </c:pt>
                      <c:pt idx="19">
                        <c:v>-2220854.3488468132</c:v>
                      </c:pt>
                      <c:pt idx="20">
                        <c:v>-2331897.0662891539</c:v>
                      </c:pt>
                      <c:pt idx="21">
                        <c:v>-2442939.7837314946</c:v>
                      </c:pt>
                      <c:pt idx="22">
                        <c:v>-2553982.5011738352</c:v>
                      </c:pt>
                      <c:pt idx="23">
                        <c:v>-2665025.2186161759</c:v>
                      </c:pt>
                      <c:pt idx="24">
                        <c:v>-2776067.9360585166</c:v>
                      </c:pt>
                      <c:pt idx="25">
                        <c:v>-2887110.6535008573</c:v>
                      </c:pt>
                      <c:pt idx="26">
                        <c:v>-2998153.370943198</c:v>
                      </c:pt>
                      <c:pt idx="27">
                        <c:v>-3109196.0883855387</c:v>
                      </c:pt>
                      <c:pt idx="28">
                        <c:v>-3220238.8058278793</c:v>
                      </c:pt>
                      <c:pt idx="29">
                        <c:v>-3331281.52327022</c:v>
                      </c:pt>
                      <c:pt idx="30">
                        <c:v>-3442324.2407125607</c:v>
                      </c:pt>
                      <c:pt idx="31">
                        <c:v>-3553366.9581549014</c:v>
                      </c:pt>
                      <c:pt idx="32">
                        <c:v>-3664409.6755972421</c:v>
                      </c:pt>
                      <c:pt idx="33">
                        <c:v>-3775452.3930395828</c:v>
                      </c:pt>
                      <c:pt idx="34">
                        <c:v>-3886495.1104819234</c:v>
                      </c:pt>
                      <c:pt idx="35">
                        <c:v>-3997537.8279242641</c:v>
                      </c:pt>
                      <c:pt idx="36">
                        <c:v>-4108580.5453666048</c:v>
                      </c:pt>
                      <c:pt idx="37">
                        <c:v>-4219623.262808945</c:v>
                      </c:pt>
                      <c:pt idx="38">
                        <c:v>-4330665.9802512852</c:v>
                      </c:pt>
                      <c:pt idx="39">
                        <c:v>-4441708.6976936255</c:v>
                      </c:pt>
                      <c:pt idx="40">
                        <c:v>-4552751.4151359657</c:v>
                      </c:pt>
                      <c:pt idx="41">
                        <c:v>-4663794.1325783059</c:v>
                      </c:pt>
                      <c:pt idx="42">
                        <c:v>-4774836.8500206461</c:v>
                      </c:pt>
                      <c:pt idx="43">
                        <c:v>-4885879.5674629863</c:v>
                      </c:pt>
                      <c:pt idx="44">
                        <c:v>-4996922.2849053266</c:v>
                      </c:pt>
                      <c:pt idx="45">
                        <c:v>-5107965.0023476668</c:v>
                      </c:pt>
                      <c:pt idx="46">
                        <c:v>-5219007.719790007</c:v>
                      </c:pt>
                      <c:pt idx="47">
                        <c:v>-5330050.4372323472</c:v>
                      </c:pt>
                      <c:pt idx="48">
                        <c:v>-5441093.1546746874</c:v>
                      </c:pt>
                      <c:pt idx="49">
                        <c:v>-5552135.8721170276</c:v>
                      </c:pt>
                      <c:pt idx="50">
                        <c:v>-5663178.5895593679</c:v>
                      </c:pt>
                      <c:pt idx="51">
                        <c:v>-5774221.3070017081</c:v>
                      </c:pt>
                      <c:pt idx="52">
                        <c:v>-5885264.0244440483</c:v>
                      </c:pt>
                      <c:pt idx="53">
                        <c:v>-5996306.7418863885</c:v>
                      </c:pt>
                      <c:pt idx="54">
                        <c:v>-6107349.4593287287</c:v>
                      </c:pt>
                      <c:pt idx="55">
                        <c:v>-6218392.1767710689</c:v>
                      </c:pt>
                      <c:pt idx="56">
                        <c:v>-6329434.8942134092</c:v>
                      </c:pt>
                      <c:pt idx="57">
                        <c:v>-6440477.6116557494</c:v>
                      </c:pt>
                      <c:pt idx="58">
                        <c:v>-6551520.3290980896</c:v>
                      </c:pt>
                      <c:pt idx="59">
                        <c:v>-6662563.0465404298</c:v>
                      </c:pt>
                      <c:pt idx="60">
                        <c:v>-6812454.2058704803</c:v>
                      </c:pt>
                      <c:pt idx="61">
                        <c:v>-6962345.3652005307</c:v>
                      </c:pt>
                      <c:pt idx="62">
                        <c:v>-7112236.5245305812</c:v>
                      </c:pt>
                      <c:pt idx="63">
                        <c:v>-7262127.6838606317</c:v>
                      </c:pt>
                      <c:pt idx="64">
                        <c:v>-7412018.8431906821</c:v>
                      </c:pt>
                      <c:pt idx="65">
                        <c:v>-7561910.0025207326</c:v>
                      </c:pt>
                      <c:pt idx="66">
                        <c:v>-7711801.161850783</c:v>
                      </c:pt>
                      <c:pt idx="67">
                        <c:v>-7861692.3211808335</c:v>
                      </c:pt>
                      <c:pt idx="68">
                        <c:v>-8011583.480510884</c:v>
                      </c:pt>
                      <c:pt idx="69">
                        <c:v>-8161474.6398409344</c:v>
                      </c:pt>
                      <c:pt idx="70">
                        <c:v>-8311365.7991709849</c:v>
                      </c:pt>
                      <c:pt idx="71">
                        <c:v>-8461256.9585010353</c:v>
                      </c:pt>
                      <c:pt idx="72">
                        <c:v>-8611148.1178310867</c:v>
                      </c:pt>
                      <c:pt idx="73">
                        <c:v>-8761039.2771611381</c:v>
                      </c:pt>
                      <c:pt idx="74">
                        <c:v>-8910930.4364911895</c:v>
                      </c:pt>
                      <c:pt idx="75">
                        <c:v>-9060821.5958212409</c:v>
                      </c:pt>
                      <c:pt idx="76">
                        <c:v>-9210712.7551512923</c:v>
                      </c:pt>
                      <c:pt idx="77">
                        <c:v>-9360603.9144813437</c:v>
                      </c:pt>
                      <c:pt idx="78">
                        <c:v>-9510495.0738113951</c:v>
                      </c:pt>
                      <c:pt idx="79">
                        <c:v>-9660386.2331414465</c:v>
                      </c:pt>
                      <c:pt idx="80">
                        <c:v>-9810277.3924714979</c:v>
                      </c:pt>
                      <c:pt idx="81">
                        <c:v>-9960168.5518015493</c:v>
                      </c:pt>
                      <c:pt idx="82">
                        <c:v>-10110059.711131601</c:v>
                      </c:pt>
                      <c:pt idx="83">
                        <c:v>-10259950.870461652</c:v>
                      </c:pt>
                      <c:pt idx="84">
                        <c:v>-10409842.029791703</c:v>
                      </c:pt>
                      <c:pt idx="85">
                        <c:v>-10559733.189121755</c:v>
                      </c:pt>
                      <c:pt idx="86">
                        <c:v>-10709624.348451806</c:v>
                      </c:pt>
                      <c:pt idx="87">
                        <c:v>-10859515.507781858</c:v>
                      </c:pt>
                      <c:pt idx="88">
                        <c:v>-11009406.667111909</c:v>
                      </c:pt>
                      <c:pt idx="89">
                        <c:v>-11159297.82644196</c:v>
                      </c:pt>
                      <c:pt idx="90">
                        <c:v>-11309188.985772012</c:v>
                      </c:pt>
                      <c:pt idx="91">
                        <c:v>-11459080.145102063</c:v>
                      </c:pt>
                      <c:pt idx="92">
                        <c:v>-11608971.304432115</c:v>
                      </c:pt>
                      <c:pt idx="93">
                        <c:v>-11758862.463762166</c:v>
                      </c:pt>
                      <c:pt idx="94">
                        <c:v>-11908753.623092217</c:v>
                      </c:pt>
                      <c:pt idx="95">
                        <c:v>-12058644.782422269</c:v>
                      </c:pt>
                      <c:pt idx="96">
                        <c:v>-12208535.94175232</c:v>
                      </c:pt>
                      <c:pt idx="97">
                        <c:v>-12358427.101082372</c:v>
                      </c:pt>
                      <c:pt idx="98">
                        <c:v>-12508318.260412423</c:v>
                      </c:pt>
                      <c:pt idx="99">
                        <c:v>-12658209.419742474</c:v>
                      </c:pt>
                      <c:pt idx="100">
                        <c:v>-12808100.579072526</c:v>
                      </c:pt>
                      <c:pt idx="101">
                        <c:v>-12957991.738402577</c:v>
                      </c:pt>
                      <c:pt idx="102">
                        <c:v>-13107882.897732629</c:v>
                      </c:pt>
                      <c:pt idx="103">
                        <c:v>-13257774.05706268</c:v>
                      </c:pt>
                      <c:pt idx="104">
                        <c:v>-13407665.216392731</c:v>
                      </c:pt>
                      <c:pt idx="105">
                        <c:v>-13557556.375722783</c:v>
                      </c:pt>
                      <c:pt idx="106">
                        <c:v>-13707447.535052834</c:v>
                      </c:pt>
                      <c:pt idx="107">
                        <c:v>-13857338.694382885</c:v>
                      </c:pt>
                      <c:pt idx="108">
                        <c:v>-14007229.853712937</c:v>
                      </c:pt>
                      <c:pt idx="109">
                        <c:v>-14157121.013042988</c:v>
                      </c:pt>
                      <c:pt idx="110">
                        <c:v>-14307012.17237304</c:v>
                      </c:pt>
                      <c:pt idx="111">
                        <c:v>-14456903.331703091</c:v>
                      </c:pt>
                      <c:pt idx="112">
                        <c:v>-14606794.491033142</c:v>
                      </c:pt>
                      <c:pt idx="113">
                        <c:v>-14756685.650363194</c:v>
                      </c:pt>
                      <c:pt idx="114">
                        <c:v>-14906576.809693245</c:v>
                      </c:pt>
                      <c:pt idx="115">
                        <c:v>-15056467.969023297</c:v>
                      </c:pt>
                      <c:pt idx="116">
                        <c:v>-15206359.128353348</c:v>
                      </c:pt>
                      <c:pt idx="117">
                        <c:v>-15356250.287683399</c:v>
                      </c:pt>
                      <c:pt idx="118">
                        <c:v>-15506141.447013451</c:v>
                      </c:pt>
                      <c:pt idx="119">
                        <c:v>-15656032.606343502</c:v>
                      </c:pt>
                    </c:numCache>
                  </c:numRef>
                </c:val>
                <c:extLst xmlns:c15="http://schemas.microsoft.com/office/drawing/2012/chart">
                  <c:ext xmlns:c16="http://schemas.microsoft.com/office/drawing/2014/chart" uri="{C3380CC4-5D6E-409C-BE32-E72D297353CC}">
                    <c16:uniqueId val="{00000005-6F56-4358-9B4D-69BFD77C1924}"/>
                  </c:ext>
                </c:extLst>
              </c15:ser>
            </c15:filteredAreaSeries>
            <c15:filteredAreaSeries>
              <c15:ser>
                <c:idx val="6"/>
                <c:order val="6"/>
                <c:tx>
                  <c:strRef>
                    <c:extLst xmlns:c15="http://schemas.microsoft.com/office/drawing/2012/chart">
                      <c:ext xmlns:c15="http://schemas.microsoft.com/office/drawing/2012/chart" uri="{02D57815-91ED-43cb-92C2-25804820EDAC}">
                        <c15:formulaRef>
                          <c15:sqref>Rentabilité!$H$76</c15:sqref>
                        </c15:formulaRef>
                      </c:ext>
                    </c:extLst>
                    <c:strCache>
                      <c:ptCount val="1"/>
                      <c:pt idx="0">
                        <c:v>Cumul du CA</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extLst xmlns:c15="http://schemas.microsoft.com/office/drawing/2012/chart">
                      <c:ext xmlns:c15="http://schemas.microsoft.com/office/drawing/2012/chart" uri="{02D57815-91ED-43cb-92C2-25804820EDAC}">
                        <c15:formulaRef>
                          <c15:sqref>Rentabilité!$A$77:$A$196</c15:sqref>
                        </c15:formulaRef>
                      </c:ext>
                    </c:extLst>
                    <c:numCache>
                      <c:formatCode>mmm\-yy</c:formatCode>
                      <c:ptCount val="120"/>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pt idx="48">
                        <c:v>47484</c:v>
                      </c:pt>
                      <c:pt idx="49">
                        <c:v>47515</c:v>
                      </c:pt>
                      <c:pt idx="50">
                        <c:v>47543</c:v>
                      </c:pt>
                      <c:pt idx="51">
                        <c:v>47574</c:v>
                      </c:pt>
                      <c:pt idx="52">
                        <c:v>47604</c:v>
                      </c:pt>
                      <c:pt idx="53">
                        <c:v>47635</c:v>
                      </c:pt>
                      <c:pt idx="54">
                        <c:v>47665</c:v>
                      </c:pt>
                      <c:pt idx="55">
                        <c:v>47696</c:v>
                      </c:pt>
                      <c:pt idx="56">
                        <c:v>47727</c:v>
                      </c:pt>
                      <c:pt idx="57">
                        <c:v>47757</c:v>
                      </c:pt>
                      <c:pt idx="58">
                        <c:v>47788</c:v>
                      </c:pt>
                      <c:pt idx="59">
                        <c:v>47818</c:v>
                      </c:pt>
                      <c:pt idx="60">
                        <c:v>47849</c:v>
                      </c:pt>
                      <c:pt idx="61">
                        <c:v>47880</c:v>
                      </c:pt>
                      <c:pt idx="62">
                        <c:v>47908</c:v>
                      </c:pt>
                      <c:pt idx="63">
                        <c:v>47939</c:v>
                      </c:pt>
                      <c:pt idx="64">
                        <c:v>47969</c:v>
                      </c:pt>
                      <c:pt idx="65">
                        <c:v>48000</c:v>
                      </c:pt>
                      <c:pt idx="66">
                        <c:v>48030</c:v>
                      </c:pt>
                      <c:pt idx="67">
                        <c:v>48061</c:v>
                      </c:pt>
                      <c:pt idx="68">
                        <c:v>48092</c:v>
                      </c:pt>
                      <c:pt idx="69">
                        <c:v>48122</c:v>
                      </c:pt>
                      <c:pt idx="70">
                        <c:v>48153</c:v>
                      </c:pt>
                      <c:pt idx="71">
                        <c:v>48183</c:v>
                      </c:pt>
                      <c:pt idx="72">
                        <c:v>48214</c:v>
                      </c:pt>
                      <c:pt idx="73">
                        <c:v>48245</c:v>
                      </c:pt>
                      <c:pt idx="74">
                        <c:v>48274</c:v>
                      </c:pt>
                      <c:pt idx="75">
                        <c:v>48305</c:v>
                      </c:pt>
                      <c:pt idx="76">
                        <c:v>48335</c:v>
                      </c:pt>
                      <c:pt idx="77">
                        <c:v>48366</c:v>
                      </c:pt>
                      <c:pt idx="78">
                        <c:v>48396</c:v>
                      </c:pt>
                      <c:pt idx="79">
                        <c:v>48427</c:v>
                      </c:pt>
                      <c:pt idx="80">
                        <c:v>48458</c:v>
                      </c:pt>
                      <c:pt idx="81">
                        <c:v>48488</c:v>
                      </c:pt>
                      <c:pt idx="82">
                        <c:v>48519</c:v>
                      </c:pt>
                      <c:pt idx="83">
                        <c:v>48549</c:v>
                      </c:pt>
                      <c:pt idx="84">
                        <c:v>48580</c:v>
                      </c:pt>
                      <c:pt idx="85">
                        <c:v>48611</c:v>
                      </c:pt>
                      <c:pt idx="86">
                        <c:v>48639</c:v>
                      </c:pt>
                      <c:pt idx="87">
                        <c:v>48670</c:v>
                      </c:pt>
                      <c:pt idx="88">
                        <c:v>48700</c:v>
                      </c:pt>
                      <c:pt idx="89">
                        <c:v>48731</c:v>
                      </c:pt>
                      <c:pt idx="90">
                        <c:v>48761</c:v>
                      </c:pt>
                      <c:pt idx="91">
                        <c:v>48792</c:v>
                      </c:pt>
                      <c:pt idx="92">
                        <c:v>48823</c:v>
                      </c:pt>
                      <c:pt idx="93">
                        <c:v>48853</c:v>
                      </c:pt>
                      <c:pt idx="94">
                        <c:v>48884</c:v>
                      </c:pt>
                      <c:pt idx="95">
                        <c:v>48914</c:v>
                      </c:pt>
                      <c:pt idx="96">
                        <c:v>48945</c:v>
                      </c:pt>
                      <c:pt idx="97">
                        <c:v>48976</c:v>
                      </c:pt>
                      <c:pt idx="98">
                        <c:v>49004</c:v>
                      </c:pt>
                      <c:pt idx="99">
                        <c:v>49035</c:v>
                      </c:pt>
                      <c:pt idx="100">
                        <c:v>49065</c:v>
                      </c:pt>
                      <c:pt idx="101">
                        <c:v>49096</c:v>
                      </c:pt>
                      <c:pt idx="102">
                        <c:v>49126</c:v>
                      </c:pt>
                      <c:pt idx="103">
                        <c:v>49157</c:v>
                      </c:pt>
                      <c:pt idx="104">
                        <c:v>49188</c:v>
                      </c:pt>
                      <c:pt idx="105">
                        <c:v>49218</c:v>
                      </c:pt>
                      <c:pt idx="106">
                        <c:v>49249</c:v>
                      </c:pt>
                      <c:pt idx="107">
                        <c:v>49279</c:v>
                      </c:pt>
                      <c:pt idx="108">
                        <c:v>49310</c:v>
                      </c:pt>
                      <c:pt idx="109">
                        <c:v>49341</c:v>
                      </c:pt>
                      <c:pt idx="110">
                        <c:v>49369</c:v>
                      </c:pt>
                      <c:pt idx="111">
                        <c:v>49400</c:v>
                      </c:pt>
                      <c:pt idx="112">
                        <c:v>49430</c:v>
                      </c:pt>
                      <c:pt idx="113">
                        <c:v>49461</c:v>
                      </c:pt>
                      <c:pt idx="114">
                        <c:v>49491</c:v>
                      </c:pt>
                      <c:pt idx="115">
                        <c:v>49522</c:v>
                      </c:pt>
                      <c:pt idx="116">
                        <c:v>49553</c:v>
                      </c:pt>
                      <c:pt idx="117">
                        <c:v>49583</c:v>
                      </c:pt>
                      <c:pt idx="118">
                        <c:v>49614</c:v>
                      </c:pt>
                      <c:pt idx="119">
                        <c:v>49644</c:v>
                      </c:pt>
                    </c:numCache>
                  </c:numRef>
                </c:cat>
                <c:val>
                  <c:numRef>
                    <c:extLst xmlns:c15="http://schemas.microsoft.com/office/drawing/2012/chart">
                      <c:ext xmlns:c15="http://schemas.microsoft.com/office/drawing/2012/chart" uri="{02D57815-91ED-43cb-92C2-25804820EDAC}">
                        <c15:formulaRef>
                          <c15:sqref>Rentabilité!$H$77:$H$196</c15:sqref>
                        </c15:formulaRef>
                      </c:ext>
                    </c:extLst>
                    <c:numCache>
                      <c:formatCode>_("€"* #,##0.00_);_("€"* \(#,##0.00\);_("€"* "-"??_);_(@_)</c:formatCode>
                      <c:ptCount val="1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37440</c:v>
                      </c:pt>
                      <c:pt idx="61">
                        <c:v>78624</c:v>
                      </c:pt>
                      <c:pt idx="62">
                        <c:v>123926.39999999999</c:v>
                      </c:pt>
                      <c:pt idx="63">
                        <c:v>173759.03999999998</c:v>
                      </c:pt>
                      <c:pt idx="64">
                        <c:v>228577.34399999998</c:v>
                      </c:pt>
                      <c:pt idx="65">
                        <c:v>288877.47839999996</c:v>
                      </c:pt>
                      <c:pt idx="66">
                        <c:v>355205.52623999998</c:v>
                      </c:pt>
                      <c:pt idx="67">
                        <c:v>428166.67886399996</c:v>
                      </c:pt>
                      <c:pt idx="68">
                        <c:v>508425.44675039995</c:v>
                      </c:pt>
                      <c:pt idx="69">
                        <c:v>596708.89142543997</c:v>
                      </c:pt>
                      <c:pt idx="70">
                        <c:v>693818.88056798396</c:v>
                      </c:pt>
                      <c:pt idx="71">
                        <c:v>800641.36862478242</c:v>
                      </c:pt>
                      <c:pt idx="72">
                        <c:v>918146.70548726071</c:v>
                      </c:pt>
                      <c:pt idx="73">
                        <c:v>1047401.9760359868</c:v>
                      </c:pt>
                      <c:pt idx="74">
                        <c:v>1189580.3736395855</c:v>
                      </c:pt>
                      <c:pt idx="75">
                        <c:v>1345976.6110035439</c:v>
                      </c:pt>
                      <c:pt idx="76">
                        <c:v>1518013.3721038983</c:v>
                      </c:pt>
                      <c:pt idx="77">
                        <c:v>1707253.8093142882</c:v>
                      </c:pt>
                      <c:pt idx="78">
                        <c:v>1915420.090245717</c:v>
                      </c:pt>
                      <c:pt idx="79">
                        <c:v>2144399.9992702887</c:v>
                      </c:pt>
                      <c:pt idx="80">
                        <c:v>2396277.5991973178</c:v>
                      </c:pt>
                      <c:pt idx="81">
                        <c:v>2673342.9591170494</c:v>
                      </c:pt>
                      <c:pt idx="82">
                        <c:v>2978116.9550287542</c:v>
                      </c:pt>
                      <c:pt idx="83">
                        <c:v>3313367.1505316296</c:v>
                      </c:pt>
                      <c:pt idx="84">
                        <c:v>3682141.7655847925</c:v>
                      </c:pt>
                      <c:pt idx="85">
                        <c:v>4087794.742143272</c:v>
                      </c:pt>
                      <c:pt idx="86">
                        <c:v>4534013.9163575992</c:v>
                      </c:pt>
                      <c:pt idx="87">
                        <c:v>5024852.3079933589</c:v>
                      </c:pt>
                      <c:pt idx="88">
                        <c:v>5564774.5387926949</c:v>
                      </c:pt>
                      <c:pt idx="89">
                        <c:v>6158691.3926719641</c:v>
                      </c:pt>
                      <c:pt idx="90">
                        <c:v>6811997.531939161</c:v>
                      </c:pt>
                      <c:pt idx="91">
                        <c:v>7530636.3851330774</c:v>
                      </c:pt>
                      <c:pt idx="92">
                        <c:v>8321138.2236463856</c:v>
                      </c:pt>
                      <c:pt idx="93">
                        <c:v>9190688.4460110236</c:v>
                      </c:pt>
                      <c:pt idx="94">
                        <c:v>10147196.090612127</c:v>
                      </c:pt>
                      <c:pt idx="95">
                        <c:v>11199353.599673338</c:v>
                      </c:pt>
                      <c:pt idx="96">
                        <c:v>12356726.859640673</c:v>
                      </c:pt>
                      <c:pt idx="97">
                        <c:v>13629836.545604739</c:v>
                      </c:pt>
                      <c:pt idx="98">
                        <c:v>15030257.800165214</c:v>
                      </c:pt>
                      <c:pt idx="99">
                        <c:v>16570720.280181736</c:v>
                      </c:pt>
                      <c:pt idx="100">
                        <c:v>18265229.608199909</c:v>
                      </c:pt>
                      <c:pt idx="101">
                        <c:v>20129189.269019902</c:v>
                      </c:pt>
                      <c:pt idx="102">
                        <c:v>22179543.995921891</c:v>
                      </c:pt>
                      <c:pt idx="103">
                        <c:v>24434932.695514079</c:v>
                      </c:pt>
                      <c:pt idx="104">
                        <c:v>26915859.965065487</c:v>
                      </c:pt>
                      <c:pt idx="105">
                        <c:v>29644880.261572037</c:v>
                      </c:pt>
                      <c:pt idx="106">
                        <c:v>32646803.787729241</c:v>
                      </c:pt>
                      <c:pt idx="107">
                        <c:v>35948918.166502163</c:v>
                      </c:pt>
                      <c:pt idx="108">
                        <c:v>39581243.983152382</c:v>
                      </c:pt>
                      <c:pt idx="109">
                        <c:v>43576803.281467617</c:v>
                      </c:pt>
                      <c:pt idx="110">
                        <c:v>47971919.10961438</c:v>
                      </c:pt>
                      <c:pt idx="111">
                        <c:v>52806546.220575817</c:v>
                      </c:pt>
                      <c:pt idx="112">
                        <c:v>58124636.042633399</c:v>
                      </c:pt>
                      <c:pt idx="113">
                        <c:v>63974533.046896741</c:v>
                      </c:pt>
                      <c:pt idx="114">
                        <c:v>70409420.651586413</c:v>
                      </c:pt>
                      <c:pt idx="115">
                        <c:v>77487795.816745058</c:v>
                      </c:pt>
                      <c:pt idx="116">
                        <c:v>85274008.498419568</c:v>
                      </c:pt>
                      <c:pt idx="117">
                        <c:v>93838842.148261517</c:v>
                      </c:pt>
                      <c:pt idx="118">
                        <c:v>103260159.46308766</c:v>
                      </c:pt>
                      <c:pt idx="119">
                        <c:v>113623607.60939643</c:v>
                      </c:pt>
                    </c:numCache>
                  </c:numRef>
                </c:val>
                <c:extLst xmlns:c15="http://schemas.microsoft.com/office/drawing/2012/chart">
                  <c:ext xmlns:c16="http://schemas.microsoft.com/office/drawing/2014/chart" uri="{C3380CC4-5D6E-409C-BE32-E72D297353CC}">
                    <c16:uniqueId val="{00000006-6F56-4358-9B4D-69BFD77C1924}"/>
                  </c:ext>
                </c:extLst>
              </c15:ser>
            </c15:filteredAreaSeries>
            <c15:filteredAreaSeries>
              <c15:ser>
                <c:idx val="7"/>
                <c:order val="7"/>
                <c:tx>
                  <c:strRef>
                    <c:extLst xmlns:c15="http://schemas.microsoft.com/office/drawing/2012/chart">
                      <c:ext xmlns:c15="http://schemas.microsoft.com/office/drawing/2012/chart" uri="{02D57815-91ED-43cb-92C2-25804820EDAC}">
                        <c15:formulaRef>
                          <c15:sqref>Rentabilité!$I$76</c15:sqref>
                        </c15:formulaRef>
                      </c:ext>
                    </c:extLst>
                    <c:strCache>
                      <c:ptCount val="1"/>
                      <c:pt idx="0">
                        <c:v>ROI</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extLst xmlns:c15="http://schemas.microsoft.com/office/drawing/2012/chart">
                      <c:ext xmlns:c15="http://schemas.microsoft.com/office/drawing/2012/chart" uri="{02D57815-91ED-43cb-92C2-25804820EDAC}">
                        <c15:formulaRef>
                          <c15:sqref>Rentabilité!$A$77:$A$196</c15:sqref>
                        </c15:formulaRef>
                      </c:ext>
                    </c:extLst>
                    <c:numCache>
                      <c:formatCode>mmm\-yy</c:formatCode>
                      <c:ptCount val="120"/>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pt idx="48">
                        <c:v>47484</c:v>
                      </c:pt>
                      <c:pt idx="49">
                        <c:v>47515</c:v>
                      </c:pt>
                      <c:pt idx="50">
                        <c:v>47543</c:v>
                      </c:pt>
                      <c:pt idx="51">
                        <c:v>47574</c:v>
                      </c:pt>
                      <c:pt idx="52">
                        <c:v>47604</c:v>
                      </c:pt>
                      <c:pt idx="53">
                        <c:v>47635</c:v>
                      </c:pt>
                      <c:pt idx="54">
                        <c:v>47665</c:v>
                      </c:pt>
                      <c:pt idx="55">
                        <c:v>47696</c:v>
                      </c:pt>
                      <c:pt idx="56">
                        <c:v>47727</c:v>
                      </c:pt>
                      <c:pt idx="57">
                        <c:v>47757</c:v>
                      </c:pt>
                      <c:pt idx="58">
                        <c:v>47788</c:v>
                      </c:pt>
                      <c:pt idx="59">
                        <c:v>47818</c:v>
                      </c:pt>
                      <c:pt idx="60">
                        <c:v>47849</c:v>
                      </c:pt>
                      <c:pt idx="61">
                        <c:v>47880</c:v>
                      </c:pt>
                      <c:pt idx="62">
                        <c:v>47908</c:v>
                      </c:pt>
                      <c:pt idx="63">
                        <c:v>47939</c:v>
                      </c:pt>
                      <c:pt idx="64">
                        <c:v>47969</c:v>
                      </c:pt>
                      <c:pt idx="65">
                        <c:v>48000</c:v>
                      </c:pt>
                      <c:pt idx="66">
                        <c:v>48030</c:v>
                      </c:pt>
                      <c:pt idx="67">
                        <c:v>48061</c:v>
                      </c:pt>
                      <c:pt idx="68">
                        <c:v>48092</c:v>
                      </c:pt>
                      <c:pt idx="69">
                        <c:v>48122</c:v>
                      </c:pt>
                      <c:pt idx="70">
                        <c:v>48153</c:v>
                      </c:pt>
                      <c:pt idx="71">
                        <c:v>48183</c:v>
                      </c:pt>
                      <c:pt idx="72">
                        <c:v>48214</c:v>
                      </c:pt>
                      <c:pt idx="73">
                        <c:v>48245</c:v>
                      </c:pt>
                      <c:pt idx="74">
                        <c:v>48274</c:v>
                      </c:pt>
                      <c:pt idx="75">
                        <c:v>48305</c:v>
                      </c:pt>
                      <c:pt idx="76">
                        <c:v>48335</c:v>
                      </c:pt>
                      <c:pt idx="77">
                        <c:v>48366</c:v>
                      </c:pt>
                      <c:pt idx="78">
                        <c:v>48396</c:v>
                      </c:pt>
                      <c:pt idx="79">
                        <c:v>48427</c:v>
                      </c:pt>
                      <c:pt idx="80">
                        <c:v>48458</c:v>
                      </c:pt>
                      <c:pt idx="81">
                        <c:v>48488</c:v>
                      </c:pt>
                      <c:pt idx="82">
                        <c:v>48519</c:v>
                      </c:pt>
                      <c:pt idx="83">
                        <c:v>48549</c:v>
                      </c:pt>
                      <c:pt idx="84">
                        <c:v>48580</c:v>
                      </c:pt>
                      <c:pt idx="85">
                        <c:v>48611</c:v>
                      </c:pt>
                      <c:pt idx="86">
                        <c:v>48639</c:v>
                      </c:pt>
                      <c:pt idx="87">
                        <c:v>48670</c:v>
                      </c:pt>
                      <c:pt idx="88">
                        <c:v>48700</c:v>
                      </c:pt>
                      <c:pt idx="89">
                        <c:v>48731</c:v>
                      </c:pt>
                      <c:pt idx="90">
                        <c:v>48761</c:v>
                      </c:pt>
                      <c:pt idx="91">
                        <c:v>48792</c:v>
                      </c:pt>
                      <c:pt idx="92">
                        <c:v>48823</c:v>
                      </c:pt>
                      <c:pt idx="93">
                        <c:v>48853</c:v>
                      </c:pt>
                      <c:pt idx="94">
                        <c:v>48884</c:v>
                      </c:pt>
                      <c:pt idx="95">
                        <c:v>48914</c:v>
                      </c:pt>
                      <c:pt idx="96">
                        <c:v>48945</c:v>
                      </c:pt>
                      <c:pt idx="97">
                        <c:v>48976</c:v>
                      </c:pt>
                      <c:pt idx="98">
                        <c:v>49004</c:v>
                      </c:pt>
                      <c:pt idx="99">
                        <c:v>49035</c:v>
                      </c:pt>
                      <c:pt idx="100">
                        <c:v>49065</c:v>
                      </c:pt>
                      <c:pt idx="101">
                        <c:v>49096</c:v>
                      </c:pt>
                      <c:pt idx="102">
                        <c:v>49126</c:v>
                      </c:pt>
                      <c:pt idx="103">
                        <c:v>49157</c:v>
                      </c:pt>
                      <c:pt idx="104">
                        <c:v>49188</c:v>
                      </c:pt>
                      <c:pt idx="105">
                        <c:v>49218</c:v>
                      </c:pt>
                      <c:pt idx="106">
                        <c:v>49249</c:v>
                      </c:pt>
                      <c:pt idx="107">
                        <c:v>49279</c:v>
                      </c:pt>
                      <c:pt idx="108">
                        <c:v>49310</c:v>
                      </c:pt>
                      <c:pt idx="109">
                        <c:v>49341</c:v>
                      </c:pt>
                      <c:pt idx="110">
                        <c:v>49369</c:v>
                      </c:pt>
                      <c:pt idx="111">
                        <c:v>49400</c:v>
                      </c:pt>
                      <c:pt idx="112">
                        <c:v>49430</c:v>
                      </c:pt>
                      <c:pt idx="113">
                        <c:v>49461</c:v>
                      </c:pt>
                      <c:pt idx="114">
                        <c:v>49491</c:v>
                      </c:pt>
                      <c:pt idx="115">
                        <c:v>49522</c:v>
                      </c:pt>
                      <c:pt idx="116">
                        <c:v>49553</c:v>
                      </c:pt>
                      <c:pt idx="117">
                        <c:v>49583</c:v>
                      </c:pt>
                      <c:pt idx="118">
                        <c:v>49614</c:v>
                      </c:pt>
                      <c:pt idx="119">
                        <c:v>49644</c:v>
                      </c:pt>
                    </c:numCache>
                  </c:numRef>
                </c:cat>
                <c:val>
                  <c:numRef>
                    <c:extLst xmlns:c15="http://schemas.microsoft.com/office/drawing/2012/chart">
                      <c:ext xmlns:c15="http://schemas.microsoft.com/office/drawing/2012/chart" uri="{02D57815-91ED-43cb-92C2-25804820EDAC}">
                        <c15:formulaRef>
                          <c15:sqref>Rentabilité!$I$77:$I$196</c15:sqref>
                        </c15:formulaRef>
                      </c:ext>
                    </c:extLst>
                    <c:numCache>
                      <c:formatCode>0.00</c:formatCode>
                      <c:ptCount val="120"/>
                      <c:pt idx="0">
                        <c:v>9.0055432993095999E-6</c:v>
                      </c:pt>
                      <c:pt idx="1">
                        <c:v>4.5027716496548E-6</c:v>
                      </c:pt>
                      <c:pt idx="2">
                        <c:v>3.0018477664365333E-6</c:v>
                      </c:pt>
                      <c:pt idx="3">
                        <c:v>2.2513858248274E-6</c:v>
                      </c:pt>
                      <c:pt idx="4">
                        <c:v>1.8011086598619202E-6</c:v>
                      </c:pt>
                      <c:pt idx="5">
                        <c:v>1.5009238832182667E-6</c:v>
                      </c:pt>
                      <c:pt idx="6">
                        <c:v>1.286506185615657E-6</c:v>
                      </c:pt>
                      <c:pt idx="7">
                        <c:v>1.1256929124136998E-6</c:v>
                      </c:pt>
                      <c:pt idx="8">
                        <c:v>1.0006159221455109E-6</c:v>
                      </c:pt>
                      <c:pt idx="9">
                        <c:v>9.0055432993095986E-7</c:v>
                      </c:pt>
                      <c:pt idx="10">
                        <c:v>8.1868575448269071E-7</c:v>
                      </c:pt>
                      <c:pt idx="11">
                        <c:v>7.5046194160913322E-7</c:v>
                      </c:pt>
                      <c:pt idx="12">
                        <c:v>6.9273409994689218E-7</c:v>
                      </c:pt>
                      <c:pt idx="13">
                        <c:v>6.4325309280782838E-7</c:v>
                      </c:pt>
                      <c:pt idx="14">
                        <c:v>6.0036955328730647E-7</c:v>
                      </c:pt>
                      <c:pt idx="15">
                        <c:v>5.6284645620684989E-7</c:v>
                      </c:pt>
                      <c:pt idx="16">
                        <c:v>5.2973784113585872E-7</c:v>
                      </c:pt>
                      <c:pt idx="17">
                        <c:v>5.0030796107275544E-7</c:v>
                      </c:pt>
                      <c:pt idx="18">
                        <c:v>4.7397596312155784E-7</c:v>
                      </c:pt>
                      <c:pt idx="19">
                        <c:v>4.5027716496547993E-7</c:v>
                      </c:pt>
                      <c:pt idx="20">
                        <c:v>4.2883539520521898E-7</c:v>
                      </c:pt>
                      <c:pt idx="21">
                        <c:v>4.0934287724134535E-7</c:v>
                      </c:pt>
                      <c:pt idx="22">
                        <c:v>3.9154536083954776E-7</c:v>
                      </c:pt>
                      <c:pt idx="23">
                        <c:v>3.7523097080456661E-7</c:v>
                      </c:pt>
                      <c:pt idx="24">
                        <c:v>3.6022173197238394E-7</c:v>
                      </c:pt>
                      <c:pt idx="25">
                        <c:v>3.4636704997344609E-7</c:v>
                      </c:pt>
                      <c:pt idx="26">
                        <c:v>3.335386407151703E-7</c:v>
                      </c:pt>
                      <c:pt idx="27">
                        <c:v>3.2162654640391419E-7</c:v>
                      </c:pt>
                      <c:pt idx="28">
                        <c:v>3.1053597583826201E-7</c:v>
                      </c:pt>
                      <c:pt idx="29">
                        <c:v>3.0018477664365324E-7</c:v>
                      </c:pt>
                      <c:pt idx="30">
                        <c:v>2.9050139675192252E-7</c:v>
                      </c:pt>
                      <c:pt idx="31">
                        <c:v>2.8142322810342494E-7</c:v>
                      </c:pt>
                      <c:pt idx="32">
                        <c:v>2.7289525149423022E-7</c:v>
                      </c:pt>
                      <c:pt idx="33">
                        <c:v>2.6486892056792936E-7</c:v>
                      </c:pt>
                      <c:pt idx="34">
                        <c:v>2.5730123712313137E-7</c:v>
                      </c:pt>
                      <c:pt idx="35">
                        <c:v>2.5015398053637772E-7</c:v>
                      </c:pt>
                      <c:pt idx="36">
                        <c:v>2.4339306214350263E-7</c:v>
                      </c:pt>
                      <c:pt idx="37">
                        <c:v>2.3698798156077892E-7</c:v>
                      </c:pt>
                      <c:pt idx="38">
                        <c:v>2.3091136664896409E-7</c:v>
                      </c:pt>
                      <c:pt idx="39">
                        <c:v>2.2513858248274002E-7</c:v>
                      </c:pt>
                      <c:pt idx="40">
                        <c:v>2.196473975441366E-7</c:v>
                      </c:pt>
                      <c:pt idx="41">
                        <c:v>2.1441769760260957E-7</c:v>
                      </c:pt>
                      <c:pt idx="42">
                        <c:v>2.0943123951882797E-7</c:v>
                      </c:pt>
                      <c:pt idx="43">
                        <c:v>2.0467143862067281E-7</c:v>
                      </c:pt>
                      <c:pt idx="44">
                        <c:v>2.0012318442910232E-7</c:v>
                      </c:pt>
                      <c:pt idx="45">
                        <c:v>1.9577268041977401E-7</c:v>
                      </c:pt>
                      <c:pt idx="46">
                        <c:v>1.916073042406299E-7</c:v>
                      </c:pt>
                      <c:pt idx="47">
                        <c:v>1.8761548540228346E-7</c:v>
                      </c:pt>
                      <c:pt idx="48">
                        <c:v>1.83786597945094E-7</c:v>
                      </c:pt>
                      <c:pt idx="49">
                        <c:v>1.8011086598619215E-7</c:v>
                      </c:pt>
                      <c:pt idx="50">
                        <c:v>1.7657928037861975E-7</c:v>
                      </c:pt>
                      <c:pt idx="51">
                        <c:v>1.7318352498672323E-7</c:v>
                      </c:pt>
                      <c:pt idx="52">
                        <c:v>1.6991591130772847E-7</c:v>
                      </c:pt>
                      <c:pt idx="53">
                        <c:v>1.6676932035758536E-7</c:v>
                      </c:pt>
                      <c:pt idx="54">
                        <c:v>1.6373715089653836E-7</c:v>
                      </c:pt>
                      <c:pt idx="55">
                        <c:v>1.6081327320195733E-7</c:v>
                      </c:pt>
                      <c:pt idx="56">
                        <c:v>1.5799198770718615E-7</c:v>
                      </c:pt>
                      <c:pt idx="57">
                        <c:v>1.5526798791913122E-7</c:v>
                      </c:pt>
                      <c:pt idx="58">
                        <c:v>1.5263632710694255E-7</c:v>
                      </c:pt>
                      <c:pt idx="59">
                        <c:v>1.5009238832182686E-7</c:v>
                      </c:pt>
                      <c:pt idx="60">
                        <c:v>5.49581675980103E-3</c:v>
                      </c:pt>
                      <c:pt idx="61">
                        <c:v>1.1292746319793554E-2</c:v>
                      </c:pt>
                      <c:pt idx="62">
                        <c:v>1.7424392393668227E-2</c:v>
                      </c:pt>
                      <c:pt idx="63">
                        <c:v>2.3926739870763006E-2</c:v>
                      </c:pt>
                      <c:pt idx="64">
                        <c:v>3.0838742970815677E-2</c:v>
                      </c:pt>
                      <c:pt idx="65">
                        <c:v>3.8201655177554854E-2</c:v>
                      </c:pt>
                      <c:pt idx="66">
                        <c:v>4.6059995425861436E-2</c:v>
                      </c:pt>
                      <c:pt idx="67">
                        <c:v>5.4462405977201728E-2</c:v>
                      </c:pt>
                      <c:pt idx="68">
                        <c:v>6.3461293012449349E-2</c:v>
                      </c:pt>
                      <c:pt idx="69">
                        <c:v>7.3112876993154483E-2</c:v>
                      </c:pt>
                      <c:pt idx="70">
                        <c:v>8.347832321821147E-2</c:v>
                      </c:pt>
                      <c:pt idx="71">
                        <c:v>9.4624400671389261E-2</c:v>
                      </c:pt>
                      <c:pt idx="72">
                        <c:v>0.10662303016087439</c:v>
                      </c:pt>
                      <c:pt idx="73">
                        <c:v>0.11955225206744868</c:v>
                      </c:pt>
                      <c:pt idx="74">
                        <c:v>0.13349676356670115</c:v>
                      </c:pt>
                      <c:pt idx="75">
                        <c:v>0.14854906884208985</c:v>
                      </c:pt>
                      <c:pt idx="76">
                        <c:v>0.16480954432705722</c:v>
                      </c:pt>
                      <c:pt idx="77">
                        <c:v>0.18238714349114563</c:v>
                      </c:pt>
                      <c:pt idx="78">
                        <c:v>0.20140067108810344</c:v>
                      </c:pt>
                      <c:pt idx="79">
                        <c:v>0.22197870225039176</c:v>
                      </c:pt>
                      <c:pt idx="80">
                        <c:v>0.24426196154618876</c:v>
                      </c:pt>
                      <c:pt idx="81">
                        <c:v>0.26840338546615333</c:v>
                      </c:pt>
                      <c:pt idx="82">
                        <c:v>0.29456967022160335</c:v>
                      </c:pt>
                      <c:pt idx="83">
                        <c:v>0.32294181447503784</c:v>
                      </c:pt>
                      <c:pt idx="84">
                        <c:v>0.35371735277509014</c:v>
                      </c:pt>
                      <c:pt idx="85">
                        <c:v>0.38711155565505823</c:v>
                      </c:pt>
                      <c:pt idx="86">
                        <c:v>0.42335881902459449</c:v>
                      </c:pt>
                      <c:pt idx="87">
                        <c:v>0.462714225546488</c:v>
                      </c:pt>
                      <c:pt idx="88">
                        <c:v>0.50545635264942923</c:v>
                      </c:pt>
                      <c:pt idx="89">
                        <c:v>0.55188879161186488</c:v>
                      </c:pt>
                      <c:pt idx="90">
                        <c:v>0.60234182490975019</c:v>
                      </c:pt>
                      <c:pt idx="91">
                        <c:v>0.65717634310742523</c:v>
                      </c:pt>
                      <c:pt idx="92">
                        <c:v>0.71678514878140076</c:v>
                      </c:pt>
                      <c:pt idx="93">
                        <c:v>0.78159672964407878</c:v>
                      </c:pt>
                      <c:pt idx="94">
                        <c:v>0.85207876590340559</c:v>
                      </c:pt>
                      <c:pt idx="95">
                        <c:v>0.92874065052471666</c:v>
                      </c:pt>
                      <c:pt idx="96">
                        <c:v>1.0121383037733092</c:v>
                      </c:pt>
                      <c:pt idx="97">
                        <c:v>1.1028779337470069</c:v>
                      </c:pt>
                      <c:pt idx="98">
                        <c:v>1.2016209923067338</c:v>
                      </c:pt>
                      <c:pt idx="99">
                        <c:v>1.3090888079586582</c:v>
                      </c:pt>
                      <c:pt idx="100">
                        <c:v>1.4260685646116742</c:v>
                      </c:pt>
                      <c:pt idx="101">
                        <c:v>1.5534188997330978</c:v>
                      </c:pt>
                      <c:pt idx="102">
                        <c:v>1.6920767578537383</c:v>
                      </c:pt>
                      <c:pt idx="103">
                        <c:v>1.8430644986363383</c:v>
                      </c:pt>
                      <c:pt idx="104">
                        <c:v>2.0074979148612031</c:v>
                      </c:pt>
                      <c:pt idx="105">
                        <c:v>2.1865946517217858</c:v>
                      </c:pt>
                      <c:pt idx="106">
                        <c:v>2.3816836580438832</c:v>
                      </c:pt>
                      <c:pt idx="107">
                        <c:v>2.5942151634840367</c:v>
                      </c:pt>
                      <c:pt idx="108">
                        <c:v>2.8257724329882734</c:v>
                      </c:pt>
                      <c:pt idx="109">
                        <c:v>3.0780836895665584</c:v>
                      </c:pt>
                      <c:pt idx="110">
                        <c:v>3.3530354578329469</c:v>
                      </c:pt>
                      <c:pt idx="111">
                        <c:v>3.652687232456922</c:v>
                      </c:pt>
                      <c:pt idx="112">
                        <c:v>3.979287589642964</c:v>
                      </c:pt>
                      <c:pt idx="113">
                        <c:v>4.3352914443442243</c:v>
                      </c:pt>
                      <c:pt idx="114">
                        <c:v>4.7233795894575561</c:v>
                      </c:pt>
                      <c:pt idx="115">
                        <c:v>5.1464789734329468</c:v>
                      </c:pt>
                      <c:pt idx="116">
                        <c:v>5.6077860438939693</c:v>
                      </c:pt>
                      <c:pt idx="117">
                        <c:v>6.1107913970069694</c:v>
                      </c:pt>
                      <c:pt idx="118">
                        <c:v>6.6593072052090694</c:v>
                      </c:pt>
                      <c:pt idx="119">
                        <c:v>7.257496868226915</c:v>
                      </c:pt>
                    </c:numCache>
                  </c:numRef>
                </c:val>
                <c:extLst xmlns:c15="http://schemas.microsoft.com/office/drawing/2012/chart">
                  <c:ext xmlns:c16="http://schemas.microsoft.com/office/drawing/2014/chart" uri="{C3380CC4-5D6E-409C-BE32-E72D297353CC}">
                    <c16:uniqueId val="{00000007-6F56-4358-9B4D-69BFD77C1924}"/>
                  </c:ext>
                </c:extLst>
              </c15:ser>
            </c15:filteredAreaSeries>
          </c:ext>
        </c:extLst>
      </c:areaChart>
      <c:dateAx>
        <c:axId val="105674867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fr-FR"/>
                  <a:t>Année/Mois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itle>
        <c:numFmt formatCode="mmm\-yy"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56734752"/>
        <c:crosses val="autoZero"/>
        <c:auto val="1"/>
        <c:lblOffset val="100"/>
        <c:baseTimeUnit val="months"/>
      </c:dateAx>
      <c:valAx>
        <c:axId val="1056734752"/>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fr-FR"/>
                  <a:t>Bénéfices</a:t>
                </a:r>
                <a:r>
                  <a:rPr lang="fr-FR" baseline="0"/>
                  <a:t> (en EUR €)</a:t>
                </a:r>
                <a:endParaRPr lang="fr-F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5674867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Story Points par mois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strRef>
              <c:f>SPRINTS!$B$144</c:f>
              <c:strCache>
                <c:ptCount val="1"/>
                <c:pt idx="0">
                  <c:v>Story Points</c:v>
                </c:pt>
              </c:strCache>
            </c:strRef>
          </c:tx>
          <c:spPr>
            <a:ln w="28575" cap="rnd">
              <a:solidFill>
                <a:schemeClr val="accent1"/>
              </a:solidFill>
              <a:round/>
            </a:ln>
            <a:effectLst/>
          </c:spPr>
          <c:marker>
            <c:symbol val="none"/>
          </c:marker>
          <c:cat>
            <c:numRef>
              <c:f>SPRINTS!$A$145:$A$194</c:f>
              <c:numCache>
                <c:formatCode>mmm\-yy</c:formatCode>
                <c:ptCount val="50"/>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pt idx="48">
                  <c:v>47484</c:v>
                </c:pt>
                <c:pt idx="49">
                  <c:v>47515</c:v>
                </c:pt>
              </c:numCache>
            </c:numRef>
          </c:cat>
          <c:val>
            <c:numRef>
              <c:f>SPRINTS!$B$145:$B$194</c:f>
              <c:numCache>
                <c:formatCode>#\ ##0_ ;\-#\ ##0\ </c:formatCode>
                <c:ptCount val="50"/>
                <c:pt idx="0">
                  <c:v>534</c:v>
                </c:pt>
                <c:pt idx="1">
                  <c:v>73</c:v>
                </c:pt>
                <c:pt idx="2">
                  <c:v>43</c:v>
                </c:pt>
                <c:pt idx="3">
                  <c:v>100</c:v>
                </c:pt>
                <c:pt idx="4">
                  <c:v>100</c:v>
                </c:pt>
                <c:pt idx="5">
                  <c:v>100</c:v>
                </c:pt>
                <c:pt idx="6">
                  <c:v>100</c:v>
                </c:pt>
                <c:pt idx="7">
                  <c:v>100</c:v>
                </c:pt>
                <c:pt idx="8">
                  <c:v>100</c:v>
                </c:pt>
                <c:pt idx="9">
                  <c:v>100</c:v>
                </c:pt>
                <c:pt idx="10">
                  <c:v>100</c:v>
                </c:pt>
                <c:pt idx="11">
                  <c:v>100</c:v>
                </c:pt>
                <c:pt idx="12">
                  <c:v>100</c:v>
                </c:pt>
                <c:pt idx="13">
                  <c:v>100</c:v>
                </c:pt>
                <c:pt idx="14" formatCode="General">
                  <c:v>160</c:v>
                </c:pt>
                <c:pt idx="15">
                  <c:v>100</c:v>
                </c:pt>
                <c:pt idx="16">
                  <c:v>100</c:v>
                </c:pt>
                <c:pt idx="17">
                  <c:v>100</c:v>
                </c:pt>
                <c:pt idx="18">
                  <c:v>100</c:v>
                </c:pt>
                <c:pt idx="19">
                  <c:v>100</c:v>
                </c:pt>
                <c:pt idx="20">
                  <c:v>100</c:v>
                </c:pt>
                <c:pt idx="21">
                  <c:v>100</c:v>
                </c:pt>
                <c:pt idx="22">
                  <c:v>100</c:v>
                </c:pt>
                <c:pt idx="23">
                  <c:v>100</c:v>
                </c:pt>
                <c:pt idx="24">
                  <c:v>100</c:v>
                </c:pt>
                <c:pt idx="25">
                  <c:v>100</c:v>
                </c:pt>
                <c:pt idx="26">
                  <c:v>160</c:v>
                </c:pt>
                <c:pt idx="27">
                  <c:v>100</c:v>
                </c:pt>
                <c:pt idx="28">
                  <c:v>100</c:v>
                </c:pt>
                <c:pt idx="29">
                  <c:v>100</c:v>
                </c:pt>
                <c:pt idx="30">
                  <c:v>100</c:v>
                </c:pt>
                <c:pt idx="31">
                  <c:v>100</c:v>
                </c:pt>
                <c:pt idx="32">
                  <c:v>100</c:v>
                </c:pt>
                <c:pt idx="33">
                  <c:v>100</c:v>
                </c:pt>
                <c:pt idx="34">
                  <c:v>100</c:v>
                </c:pt>
                <c:pt idx="35">
                  <c:v>100</c:v>
                </c:pt>
                <c:pt idx="36">
                  <c:v>100</c:v>
                </c:pt>
                <c:pt idx="37">
                  <c:v>100</c:v>
                </c:pt>
                <c:pt idx="38">
                  <c:v>160</c:v>
                </c:pt>
                <c:pt idx="39">
                  <c:v>63</c:v>
                </c:pt>
                <c:pt idx="40">
                  <c:v>63</c:v>
                </c:pt>
                <c:pt idx="41">
                  <c:v>75</c:v>
                </c:pt>
                <c:pt idx="42">
                  <c:v>75</c:v>
                </c:pt>
                <c:pt idx="43">
                  <c:v>75</c:v>
                </c:pt>
                <c:pt idx="44">
                  <c:v>75</c:v>
                </c:pt>
                <c:pt idx="45">
                  <c:v>75</c:v>
                </c:pt>
                <c:pt idx="46">
                  <c:v>75</c:v>
                </c:pt>
                <c:pt idx="47">
                  <c:v>75</c:v>
                </c:pt>
                <c:pt idx="48">
                  <c:v>128</c:v>
                </c:pt>
                <c:pt idx="49">
                  <c:v>63</c:v>
                </c:pt>
              </c:numCache>
            </c:numRef>
          </c:val>
          <c:smooth val="0"/>
          <c:extLst>
            <c:ext xmlns:c16="http://schemas.microsoft.com/office/drawing/2014/chart" uri="{C3380CC4-5D6E-409C-BE32-E72D297353CC}">
              <c16:uniqueId val="{00000000-4C59-4CDA-A243-BDA29AA957CF}"/>
            </c:ext>
          </c:extLst>
        </c:ser>
        <c:dLbls>
          <c:showLegendKey val="0"/>
          <c:showVal val="0"/>
          <c:showCatName val="0"/>
          <c:showSerName val="0"/>
          <c:showPercent val="0"/>
          <c:showBubbleSize val="0"/>
        </c:dLbls>
        <c:smooth val="0"/>
        <c:axId val="1888032351"/>
        <c:axId val="1888031391"/>
      </c:lineChart>
      <c:dateAx>
        <c:axId val="1888032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Mois/années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88031391"/>
        <c:crosses val="autoZero"/>
        <c:auto val="1"/>
        <c:lblOffset val="100"/>
        <c:baseTimeUnit val="months"/>
      </c:dateAx>
      <c:valAx>
        <c:axId val="1888031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Story</a:t>
                </a:r>
                <a:r>
                  <a:rPr lang="fr-FR" baseline="0"/>
                  <a:t> points</a:t>
                </a:r>
                <a:endParaRPr lang="fr-F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 ##0_ ;\-#\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880323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Burndown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strRef>
              <c:f>SPRINTS!$C$144</c:f>
              <c:strCache>
                <c:ptCount val="1"/>
                <c:pt idx="0">
                  <c:v>Reste à faire</c:v>
                </c:pt>
              </c:strCache>
            </c:strRef>
          </c:tx>
          <c:spPr>
            <a:ln w="28575" cap="rnd">
              <a:solidFill>
                <a:schemeClr val="accent1"/>
              </a:solidFill>
              <a:round/>
            </a:ln>
            <a:effectLst/>
          </c:spPr>
          <c:marker>
            <c:symbol val="none"/>
          </c:marker>
          <c:cat>
            <c:numRef>
              <c:f>SPRINTS!$A$145:$A$194</c:f>
              <c:numCache>
                <c:formatCode>mmm\-yy</c:formatCode>
                <c:ptCount val="50"/>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pt idx="48">
                  <c:v>47484</c:v>
                </c:pt>
                <c:pt idx="49">
                  <c:v>47515</c:v>
                </c:pt>
              </c:numCache>
            </c:numRef>
          </c:cat>
          <c:val>
            <c:numRef>
              <c:f>SPRINTS!$C$145:$C$194</c:f>
              <c:numCache>
                <c:formatCode>0</c:formatCode>
                <c:ptCount val="50"/>
                <c:pt idx="0">
                  <c:v>4738</c:v>
                </c:pt>
                <c:pt idx="1">
                  <c:v>4665</c:v>
                </c:pt>
                <c:pt idx="2">
                  <c:v>4622</c:v>
                </c:pt>
                <c:pt idx="3">
                  <c:v>4522</c:v>
                </c:pt>
                <c:pt idx="4">
                  <c:v>4422</c:v>
                </c:pt>
                <c:pt idx="5">
                  <c:v>4322</c:v>
                </c:pt>
                <c:pt idx="6">
                  <c:v>4222</c:v>
                </c:pt>
                <c:pt idx="7">
                  <c:v>4122</c:v>
                </c:pt>
                <c:pt idx="8">
                  <c:v>4022</c:v>
                </c:pt>
                <c:pt idx="9">
                  <c:v>3922</c:v>
                </c:pt>
                <c:pt idx="10">
                  <c:v>3822</c:v>
                </c:pt>
                <c:pt idx="11">
                  <c:v>3722</c:v>
                </c:pt>
                <c:pt idx="12">
                  <c:v>3622</c:v>
                </c:pt>
                <c:pt idx="13">
                  <c:v>3522</c:v>
                </c:pt>
                <c:pt idx="14">
                  <c:v>3362</c:v>
                </c:pt>
                <c:pt idx="15">
                  <c:v>3262</c:v>
                </c:pt>
                <c:pt idx="16">
                  <c:v>3162</c:v>
                </c:pt>
                <c:pt idx="17">
                  <c:v>3062</c:v>
                </c:pt>
                <c:pt idx="18">
                  <c:v>2962</c:v>
                </c:pt>
                <c:pt idx="19">
                  <c:v>2862</c:v>
                </c:pt>
                <c:pt idx="20">
                  <c:v>2762</c:v>
                </c:pt>
                <c:pt idx="21">
                  <c:v>2662</c:v>
                </c:pt>
                <c:pt idx="22">
                  <c:v>2562</c:v>
                </c:pt>
                <c:pt idx="23">
                  <c:v>2462</c:v>
                </c:pt>
                <c:pt idx="24">
                  <c:v>2362</c:v>
                </c:pt>
                <c:pt idx="25">
                  <c:v>2262</c:v>
                </c:pt>
                <c:pt idx="26">
                  <c:v>2102</c:v>
                </c:pt>
                <c:pt idx="27">
                  <c:v>2002</c:v>
                </c:pt>
                <c:pt idx="28">
                  <c:v>1902</c:v>
                </c:pt>
                <c:pt idx="29">
                  <c:v>1802</c:v>
                </c:pt>
                <c:pt idx="30">
                  <c:v>1702</c:v>
                </c:pt>
                <c:pt idx="31">
                  <c:v>1602</c:v>
                </c:pt>
                <c:pt idx="32">
                  <c:v>1502</c:v>
                </c:pt>
                <c:pt idx="33">
                  <c:v>1402</c:v>
                </c:pt>
                <c:pt idx="34">
                  <c:v>1302</c:v>
                </c:pt>
                <c:pt idx="35">
                  <c:v>1202</c:v>
                </c:pt>
                <c:pt idx="36">
                  <c:v>1102</c:v>
                </c:pt>
                <c:pt idx="37">
                  <c:v>1002</c:v>
                </c:pt>
                <c:pt idx="38">
                  <c:v>842</c:v>
                </c:pt>
                <c:pt idx="39">
                  <c:v>779</c:v>
                </c:pt>
                <c:pt idx="40">
                  <c:v>716</c:v>
                </c:pt>
                <c:pt idx="41">
                  <c:v>641</c:v>
                </c:pt>
                <c:pt idx="42">
                  <c:v>566</c:v>
                </c:pt>
                <c:pt idx="43">
                  <c:v>491</c:v>
                </c:pt>
                <c:pt idx="44">
                  <c:v>416</c:v>
                </c:pt>
                <c:pt idx="45">
                  <c:v>341</c:v>
                </c:pt>
                <c:pt idx="46">
                  <c:v>266</c:v>
                </c:pt>
                <c:pt idx="47">
                  <c:v>191</c:v>
                </c:pt>
                <c:pt idx="48">
                  <c:v>63</c:v>
                </c:pt>
                <c:pt idx="49">
                  <c:v>0</c:v>
                </c:pt>
              </c:numCache>
            </c:numRef>
          </c:val>
          <c:smooth val="0"/>
          <c:extLst>
            <c:ext xmlns:c16="http://schemas.microsoft.com/office/drawing/2014/chart" uri="{C3380CC4-5D6E-409C-BE32-E72D297353CC}">
              <c16:uniqueId val="{00000000-6111-4BB4-817C-24FED92EF3F6}"/>
            </c:ext>
          </c:extLst>
        </c:ser>
        <c:ser>
          <c:idx val="1"/>
          <c:order val="1"/>
          <c:tx>
            <c:strRef>
              <c:f>SPRINTS!$D$144</c:f>
              <c:strCache>
                <c:ptCount val="1"/>
                <c:pt idx="0">
                  <c:v>Journées idéales</c:v>
                </c:pt>
              </c:strCache>
            </c:strRef>
          </c:tx>
          <c:spPr>
            <a:ln w="28575" cap="rnd">
              <a:solidFill>
                <a:schemeClr val="accent2"/>
              </a:solidFill>
              <a:round/>
            </a:ln>
            <a:effectLst/>
          </c:spPr>
          <c:marker>
            <c:symbol val="none"/>
          </c:marker>
          <c:cat>
            <c:numRef>
              <c:f>SPRINTS!$A$145:$A$194</c:f>
              <c:numCache>
                <c:formatCode>mmm\-yy</c:formatCode>
                <c:ptCount val="50"/>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pt idx="36">
                  <c:v>47119</c:v>
                </c:pt>
                <c:pt idx="37">
                  <c:v>47150</c:v>
                </c:pt>
                <c:pt idx="38">
                  <c:v>47178</c:v>
                </c:pt>
                <c:pt idx="39">
                  <c:v>47209</c:v>
                </c:pt>
                <c:pt idx="40">
                  <c:v>47239</c:v>
                </c:pt>
                <c:pt idx="41">
                  <c:v>47270</c:v>
                </c:pt>
                <c:pt idx="42">
                  <c:v>47300</c:v>
                </c:pt>
                <c:pt idx="43">
                  <c:v>47331</c:v>
                </c:pt>
                <c:pt idx="44">
                  <c:v>47362</c:v>
                </c:pt>
                <c:pt idx="45">
                  <c:v>47392</c:v>
                </c:pt>
                <c:pt idx="46">
                  <c:v>47423</c:v>
                </c:pt>
                <c:pt idx="47">
                  <c:v>47453</c:v>
                </c:pt>
                <c:pt idx="48">
                  <c:v>47484</c:v>
                </c:pt>
                <c:pt idx="49">
                  <c:v>47515</c:v>
                </c:pt>
              </c:numCache>
            </c:numRef>
          </c:cat>
          <c:val>
            <c:numRef>
              <c:f>SPRINTS!$D$145:$D$194</c:f>
              <c:numCache>
                <c:formatCode>0</c:formatCode>
                <c:ptCount val="50"/>
                <c:pt idx="0">
                  <c:v>5164.408163265306</c:v>
                </c:pt>
                <c:pt idx="1">
                  <c:v>5056.8163265306121</c:v>
                </c:pt>
                <c:pt idx="2">
                  <c:v>4949.2244897959181</c:v>
                </c:pt>
                <c:pt idx="3">
                  <c:v>4841.6326530612241</c:v>
                </c:pt>
                <c:pt idx="4">
                  <c:v>4734.0408163265301</c:v>
                </c:pt>
                <c:pt idx="5">
                  <c:v>4626.4489795918362</c:v>
                </c:pt>
                <c:pt idx="6">
                  <c:v>4518.8571428571422</c:v>
                </c:pt>
                <c:pt idx="7">
                  <c:v>4411.2653061224482</c:v>
                </c:pt>
                <c:pt idx="8">
                  <c:v>4303.6734693877543</c:v>
                </c:pt>
                <c:pt idx="9">
                  <c:v>4196.0816326530603</c:v>
                </c:pt>
                <c:pt idx="10">
                  <c:v>4088.4897959183663</c:v>
                </c:pt>
                <c:pt idx="11">
                  <c:v>3980.8979591836724</c:v>
                </c:pt>
                <c:pt idx="12">
                  <c:v>3873.3061224489784</c:v>
                </c:pt>
                <c:pt idx="13">
                  <c:v>3765.7142857142844</c:v>
                </c:pt>
                <c:pt idx="14">
                  <c:v>3658.1224489795904</c:v>
                </c:pt>
                <c:pt idx="15">
                  <c:v>3550.5306122448965</c:v>
                </c:pt>
                <c:pt idx="16">
                  <c:v>3442.9387755102025</c:v>
                </c:pt>
                <c:pt idx="17">
                  <c:v>3335.3469387755085</c:v>
                </c:pt>
                <c:pt idx="18">
                  <c:v>3227.7551020408146</c:v>
                </c:pt>
                <c:pt idx="19">
                  <c:v>3120.1632653061206</c:v>
                </c:pt>
                <c:pt idx="20">
                  <c:v>3012.5714285714266</c:v>
                </c:pt>
                <c:pt idx="21">
                  <c:v>2904.9795918367327</c:v>
                </c:pt>
                <c:pt idx="22">
                  <c:v>2797.3877551020387</c:v>
                </c:pt>
                <c:pt idx="23">
                  <c:v>2689.7959183673447</c:v>
                </c:pt>
                <c:pt idx="24">
                  <c:v>2582.2040816326507</c:v>
                </c:pt>
                <c:pt idx="25">
                  <c:v>2474.6122448979568</c:v>
                </c:pt>
                <c:pt idx="26">
                  <c:v>2367.0204081632628</c:v>
                </c:pt>
                <c:pt idx="27">
                  <c:v>2259.4285714285688</c:v>
                </c:pt>
                <c:pt idx="28">
                  <c:v>2151.8367346938749</c:v>
                </c:pt>
                <c:pt idx="29">
                  <c:v>2044.2448979591809</c:v>
                </c:pt>
                <c:pt idx="30">
                  <c:v>1936.6530612244869</c:v>
                </c:pt>
                <c:pt idx="31">
                  <c:v>1829.0612244897929</c:v>
                </c:pt>
                <c:pt idx="32">
                  <c:v>1721.469387755099</c:v>
                </c:pt>
                <c:pt idx="33">
                  <c:v>1613.877551020405</c:v>
                </c:pt>
                <c:pt idx="34">
                  <c:v>1506.285714285711</c:v>
                </c:pt>
                <c:pt idx="35">
                  <c:v>1398.6938775510171</c:v>
                </c:pt>
                <c:pt idx="36">
                  <c:v>1291.1020408163231</c:v>
                </c:pt>
                <c:pt idx="37">
                  <c:v>1183.5102040816291</c:v>
                </c:pt>
                <c:pt idx="38">
                  <c:v>1075.9183673469352</c:v>
                </c:pt>
                <c:pt idx="39">
                  <c:v>968.3265306122413</c:v>
                </c:pt>
                <c:pt idx="40">
                  <c:v>860.73469387754744</c:v>
                </c:pt>
                <c:pt idx="41">
                  <c:v>753.14285714285359</c:v>
                </c:pt>
                <c:pt idx="42">
                  <c:v>645.55102040815973</c:v>
                </c:pt>
                <c:pt idx="43">
                  <c:v>537.95918367346587</c:v>
                </c:pt>
                <c:pt idx="44">
                  <c:v>430.36734693877202</c:v>
                </c:pt>
                <c:pt idx="45">
                  <c:v>322.77551020407816</c:v>
                </c:pt>
                <c:pt idx="46">
                  <c:v>215.1836734693843</c:v>
                </c:pt>
                <c:pt idx="47">
                  <c:v>107.59183673469043</c:v>
                </c:pt>
                <c:pt idx="48">
                  <c:v>-3.4390268410788849E-12</c:v>
                </c:pt>
                <c:pt idx="49">
                  <c:v>-107.59183673469731</c:v>
                </c:pt>
              </c:numCache>
            </c:numRef>
          </c:val>
          <c:smooth val="0"/>
          <c:extLst>
            <c:ext xmlns:c16="http://schemas.microsoft.com/office/drawing/2014/chart" uri="{C3380CC4-5D6E-409C-BE32-E72D297353CC}">
              <c16:uniqueId val="{00000001-6111-4BB4-817C-24FED92EF3F6}"/>
            </c:ext>
          </c:extLst>
        </c:ser>
        <c:dLbls>
          <c:showLegendKey val="0"/>
          <c:showVal val="0"/>
          <c:showCatName val="0"/>
          <c:showSerName val="0"/>
          <c:showPercent val="0"/>
          <c:showBubbleSize val="0"/>
        </c:dLbls>
        <c:smooth val="0"/>
        <c:axId val="413798895"/>
        <c:axId val="413807055"/>
      </c:lineChart>
      <c:dateAx>
        <c:axId val="4137988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Mois/années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3807055"/>
        <c:crosses val="autoZero"/>
        <c:auto val="1"/>
        <c:lblOffset val="100"/>
        <c:baseTimeUnit val="months"/>
      </c:dateAx>
      <c:valAx>
        <c:axId val="413807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Story</a:t>
                </a:r>
                <a:r>
                  <a:rPr lang="fr-FR" baseline="0"/>
                  <a:t> points</a:t>
                </a:r>
                <a:endParaRPr lang="fr-F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3798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Cartographie</a:t>
            </a:r>
            <a:r>
              <a:rPr lang="fr-FR" baseline="0"/>
              <a:t> par type de risque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tx>
            <c:strRef>
              <c:f>'Analyse Risques'!$B$14</c:f>
              <c:strCache>
                <c:ptCount val="1"/>
                <c:pt idx="0">
                  <c:v>occurrence</c:v>
                </c:pt>
              </c:strCache>
            </c:strRef>
          </c:tx>
          <c:spPr>
            <a:solidFill>
              <a:schemeClr val="accent1"/>
            </a:solidFill>
            <a:ln>
              <a:noFill/>
            </a:ln>
            <a:effectLst/>
          </c:spPr>
          <c:invertIfNegative val="0"/>
          <c:cat>
            <c:strRef>
              <c:f>'Analyse Risques'!$A$15:$A$18</c:f>
              <c:strCache>
                <c:ptCount val="4"/>
                <c:pt idx="0">
                  <c:v>Risque technique</c:v>
                </c:pt>
                <c:pt idx="1">
                  <c:v>Risque juridique et de conformité</c:v>
                </c:pt>
                <c:pt idx="2">
                  <c:v>Risque concurrentiel</c:v>
                </c:pt>
                <c:pt idx="3">
                  <c:v>Risque organisationnel</c:v>
                </c:pt>
              </c:strCache>
            </c:strRef>
          </c:cat>
          <c:val>
            <c:numRef>
              <c:f>'Analyse Risques'!$B$15:$B$18</c:f>
              <c:numCache>
                <c:formatCode>General</c:formatCode>
                <c:ptCount val="4"/>
                <c:pt idx="0">
                  <c:v>5</c:v>
                </c:pt>
                <c:pt idx="1">
                  <c:v>2</c:v>
                </c:pt>
                <c:pt idx="2">
                  <c:v>1</c:v>
                </c:pt>
                <c:pt idx="3">
                  <c:v>1</c:v>
                </c:pt>
              </c:numCache>
            </c:numRef>
          </c:val>
          <c:extLst>
            <c:ext xmlns:c16="http://schemas.microsoft.com/office/drawing/2014/chart" uri="{C3380CC4-5D6E-409C-BE32-E72D297353CC}">
              <c16:uniqueId val="{00000000-2E07-47DA-9A07-B3D2DACF8BEE}"/>
            </c:ext>
          </c:extLst>
        </c:ser>
        <c:ser>
          <c:idx val="1"/>
          <c:order val="1"/>
          <c:tx>
            <c:strRef>
              <c:f>'Analyse Risques'!$C$14</c:f>
              <c:strCache>
                <c:ptCount val="1"/>
                <c:pt idx="0">
                  <c:v>Criticité moyenne</c:v>
                </c:pt>
              </c:strCache>
            </c:strRef>
          </c:tx>
          <c:spPr>
            <a:solidFill>
              <a:schemeClr val="accent2"/>
            </a:solidFill>
            <a:ln>
              <a:noFill/>
            </a:ln>
            <a:effectLst/>
          </c:spPr>
          <c:invertIfNegative val="0"/>
          <c:cat>
            <c:strRef>
              <c:f>'Analyse Risques'!$A$15:$A$18</c:f>
              <c:strCache>
                <c:ptCount val="4"/>
                <c:pt idx="0">
                  <c:v>Risque technique</c:v>
                </c:pt>
                <c:pt idx="1">
                  <c:v>Risque juridique et de conformité</c:v>
                </c:pt>
                <c:pt idx="2">
                  <c:v>Risque concurrentiel</c:v>
                </c:pt>
                <c:pt idx="3">
                  <c:v>Risque organisationnel</c:v>
                </c:pt>
              </c:strCache>
            </c:strRef>
          </c:cat>
          <c:val>
            <c:numRef>
              <c:f>'Analyse Risques'!$C$15:$C$18</c:f>
              <c:numCache>
                <c:formatCode>General</c:formatCode>
                <c:ptCount val="4"/>
                <c:pt idx="0">
                  <c:v>5.2</c:v>
                </c:pt>
                <c:pt idx="1">
                  <c:v>7.5</c:v>
                </c:pt>
                <c:pt idx="2">
                  <c:v>2</c:v>
                </c:pt>
                <c:pt idx="3">
                  <c:v>2</c:v>
                </c:pt>
              </c:numCache>
            </c:numRef>
          </c:val>
          <c:extLst>
            <c:ext xmlns:c16="http://schemas.microsoft.com/office/drawing/2014/chart" uri="{C3380CC4-5D6E-409C-BE32-E72D297353CC}">
              <c16:uniqueId val="{00000001-2E07-47DA-9A07-B3D2DACF8BEE}"/>
            </c:ext>
          </c:extLst>
        </c:ser>
        <c:dLbls>
          <c:showLegendKey val="0"/>
          <c:showVal val="0"/>
          <c:showCatName val="0"/>
          <c:showSerName val="0"/>
          <c:showPercent val="0"/>
          <c:showBubbleSize val="0"/>
        </c:dLbls>
        <c:gapWidth val="182"/>
        <c:axId val="393133487"/>
        <c:axId val="393133007"/>
      </c:barChart>
      <c:catAx>
        <c:axId val="393133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93133007"/>
        <c:crosses val="autoZero"/>
        <c:auto val="1"/>
        <c:lblAlgn val="ctr"/>
        <c:lblOffset val="100"/>
        <c:noMultiLvlLbl val="0"/>
      </c:catAx>
      <c:valAx>
        <c:axId val="393133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93133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84</xdr:row>
      <xdr:rowOff>6351</xdr:rowOff>
    </xdr:from>
    <xdr:to>
      <xdr:col>1</xdr:col>
      <xdr:colOff>1939925</xdr:colOff>
      <xdr:row>101</xdr:row>
      <xdr:rowOff>6510</xdr:rowOff>
    </xdr:to>
    <xdr:pic>
      <xdr:nvPicPr>
        <xdr:cNvPr id="3" name="Image 2">
          <a:extLst>
            <a:ext uri="{FF2B5EF4-FFF2-40B4-BE49-F238E27FC236}">
              <a16:creationId xmlns:a16="http://schemas.microsoft.com/office/drawing/2014/main" id="{4BDA2504-1DC5-0FA2-63DB-12A1CDAE40A2}"/>
            </a:ext>
          </a:extLst>
        </xdr:cNvPr>
        <xdr:cNvPicPr>
          <a:picLocks noChangeAspect="1"/>
        </xdr:cNvPicPr>
      </xdr:nvPicPr>
      <xdr:blipFill>
        <a:blip xmlns:r="http://schemas.openxmlformats.org/officeDocument/2006/relationships" r:embed="rId1"/>
        <a:stretch>
          <a:fillRect/>
        </a:stretch>
      </xdr:blipFill>
      <xdr:spPr>
        <a:xfrm>
          <a:off x="0" y="12547601"/>
          <a:ext cx="6083300" cy="3352960"/>
        </a:xfrm>
        <a:prstGeom prst="rect">
          <a:avLst/>
        </a:prstGeom>
      </xdr:spPr>
    </xdr:pic>
    <xdr:clientData/>
  </xdr:twoCellAnchor>
  <xdr:twoCellAnchor editAs="oneCell">
    <xdr:from>
      <xdr:col>0</xdr:col>
      <xdr:colOff>0</xdr:colOff>
      <xdr:row>45</xdr:row>
      <xdr:rowOff>0</xdr:rowOff>
    </xdr:from>
    <xdr:to>
      <xdr:col>1</xdr:col>
      <xdr:colOff>1930400</xdr:colOff>
      <xdr:row>66</xdr:row>
      <xdr:rowOff>160</xdr:rowOff>
    </xdr:to>
    <xdr:pic>
      <xdr:nvPicPr>
        <xdr:cNvPr id="2" name="Image 1">
          <a:extLst>
            <a:ext uri="{FF2B5EF4-FFF2-40B4-BE49-F238E27FC236}">
              <a16:creationId xmlns:a16="http://schemas.microsoft.com/office/drawing/2014/main" id="{0214914B-0736-4F27-BE8A-0CDF298390EF}"/>
            </a:ext>
          </a:extLst>
        </xdr:cNvPr>
        <xdr:cNvPicPr>
          <a:picLocks noChangeAspect="1"/>
        </xdr:cNvPicPr>
      </xdr:nvPicPr>
      <xdr:blipFill>
        <a:blip xmlns:r="http://schemas.openxmlformats.org/officeDocument/2006/relationships" r:embed="rId1"/>
        <a:stretch>
          <a:fillRect/>
        </a:stretch>
      </xdr:blipFill>
      <xdr:spPr>
        <a:xfrm>
          <a:off x="0" y="13144500"/>
          <a:ext cx="6083300" cy="34005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101599</xdr:colOff>
      <xdr:row>10</xdr:row>
      <xdr:rowOff>19050</xdr:rowOff>
    </xdr:from>
    <xdr:to>
      <xdr:col>13</xdr:col>
      <xdr:colOff>28574</xdr:colOff>
      <xdr:row>29</xdr:row>
      <xdr:rowOff>123825</xdr:rowOff>
    </xdr:to>
    <xdr:graphicFrame macro="">
      <xdr:nvGraphicFramePr>
        <xdr:cNvPr id="2" name="Graphique 1">
          <a:extLst>
            <a:ext uri="{FF2B5EF4-FFF2-40B4-BE49-F238E27FC236}">
              <a16:creationId xmlns:a16="http://schemas.microsoft.com/office/drawing/2014/main" id="{A8EC439F-EF50-7CB0-F3D0-2338A669BF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92074</xdr:colOff>
      <xdr:row>30</xdr:row>
      <xdr:rowOff>38100</xdr:rowOff>
    </xdr:from>
    <xdr:to>
      <xdr:col>13</xdr:col>
      <xdr:colOff>19049</xdr:colOff>
      <xdr:row>51</xdr:row>
      <xdr:rowOff>133350</xdr:rowOff>
    </xdr:to>
    <xdr:graphicFrame macro="">
      <xdr:nvGraphicFramePr>
        <xdr:cNvPr id="3" name="Graphique 2">
          <a:extLst>
            <a:ext uri="{FF2B5EF4-FFF2-40B4-BE49-F238E27FC236}">
              <a16:creationId xmlns:a16="http://schemas.microsoft.com/office/drawing/2014/main" id="{0A454E17-056A-E64B-8AA2-07478EFB68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73</xdr:row>
      <xdr:rowOff>0</xdr:rowOff>
    </xdr:from>
    <xdr:to>
      <xdr:col>0</xdr:col>
      <xdr:colOff>304800</xdr:colOff>
      <xdr:row>74</xdr:row>
      <xdr:rowOff>139700</xdr:rowOff>
    </xdr:to>
    <xdr:sp macro="" textlink="">
      <xdr:nvSpPr>
        <xdr:cNvPr id="2049" name="AutoShape 1">
          <a:extLst>
            <a:ext uri="{FF2B5EF4-FFF2-40B4-BE49-F238E27FC236}">
              <a16:creationId xmlns:a16="http://schemas.microsoft.com/office/drawing/2014/main" id="{5224A17D-41BE-2EFB-5C42-B0F20069BB0E}"/>
            </a:ext>
          </a:extLst>
        </xdr:cNvPr>
        <xdr:cNvSpPr>
          <a:spLocks noChangeAspect="1" noChangeArrowheads="1"/>
        </xdr:cNvSpPr>
      </xdr:nvSpPr>
      <xdr:spPr bwMode="auto">
        <a:xfrm>
          <a:off x="0" y="12522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73</xdr:row>
      <xdr:rowOff>0</xdr:rowOff>
    </xdr:from>
    <xdr:to>
      <xdr:col>0</xdr:col>
      <xdr:colOff>304800</xdr:colOff>
      <xdr:row>74</xdr:row>
      <xdr:rowOff>142875</xdr:rowOff>
    </xdr:to>
    <xdr:sp macro="" textlink="">
      <xdr:nvSpPr>
        <xdr:cNvPr id="2050" name="AutoShape 2">
          <a:extLst>
            <a:ext uri="{FF2B5EF4-FFF2-40B4-BE49-F238E27FC236}">
              <a16:creationId xmlns:a16="http://schemas.microsoft.com/office/drawing/2014/main" id="{1A3D7842-EAC0-B1AD-9603-8C140D866C3D}"/>
            </a:ext>
          </a:extLst>
        </xdr:cNvPr>
        <xdr:cNvSpPr>
          <a:spLocks noChangeAspect="1" noChangeArrowheads="1"/>
        </xdr:cNvSpPr>
      </xdr:nvSpPr>
      <xdr:spPr bwMode="auto">
        <a:xfrm>
          <a:off x="0" y="1283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10</xdr:col>
      <xdr:colOff>180975</xdr:colOff>
      <xdr:row>74</xdr:row>
      <xdr:rowOff>123825</xdr:rowOff>
    </xdr:from>
    <xdr:to>
      <xdr:col>21</xdr:col>
      <xdr:colOff>28575</xdr:colOff>
      <xdr:row>106</xdr:row>
      <xdr:rowOff>104775</xdr:rowOff>
    </xdr:to>
    <xdr:graphicFrame macro="">
      <xdr:nvGraphicFramePr>
        <xdr:cNvPr id="5" name="Graphique 4">
          <a:extLst>
            <a:ext uri="{FF2B5EF4-FFF2-40B4-BE49-F238E27FC236}">
              <a16:creationId xmlns:a16="http://schemas.microsoft.com/office/drawing/2014/main" id="{C75E42EE-A618-E1B4-ACA0-99707D4F2E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115795</xdr:colOff>
      <xdr:row>163</xdr:row>
      <xdr:rowOff>88900</xdr:rowOff>
    </xdr:from>
    <xdr:to>
      <xdr:col>12</xdr:col>
      <xdr:colOff>14942</xdr:colOff>
      <xdr:row>177</xdr:row>
      <xdr:rowOff>8217</xdr:rowOff>
    </xdr:to>
    <xdr:graphicFrame macro="">
      <xdr:nvGraphicFramePr>
        <xdr:cNvPr id="5" name="Graphique 4">
          <a:extLst>
            <a:ext uri="{FF2B5EF4-FFF2-40B4-BE49-F238E27FC236}">
              <a16:creationId xmlns:a16="http://schemas.microsoft.com/office/drawing/2014/main" id="{49B830D0-EFAC-9B77-3499-E2843B9032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100854</xdr:colOff>
      <xdr:row>142</xdr:row>
      <xdr:rowOff>133723</xdr:rowOff>
    </xdr:from>
    <xdr:to>
      <xdr:col>12</xdr:col>
      <xdr:colOff>29882</xdr:colOff>
      <xdr:row>158</xdr:row>
      <xdr:rowOff>171823</xdr:rowOff>
    </xdr:to>
    <xdr:graphicFrame macro="">
      <xdr:nvGraphicFramePr>
        <xdr:cNvPr id="6" name="Graphique 5">
          <a:extLst>
            <a:ext uri="{FF2B5EF4-FFF2-40B4-BE49-F238E27FC236}">
              <a16:creationId xmlns:a16="http://schemas.microsoft.com/office/drawing/2014/main" id="{F8AB0B38-5816-A83D-9DFC-BFFD8E2068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872856</xdr:colOff>
      <xdr:row>13</xdr:row>
      <xdr:rowOff>11408</xdr:rowOff>
    </xdr:from>
    <xdr:to>
      <xdr:col>8</xdr:col>
      <xdr:colOff>0</xdr:colOff>
      <xdr:row>33</xdr:row>
      <xdr:rowOff>32288</xdr:rowOff>
    </xdr:to>
    <xdr:graphicFrame macro="">
      <xdr:nvGraphicFramePr>
        <xdr:cNvPr id="3" name="Graphique 2">
          <a:extLst>
            <a:ext uri="{FF2B5EF4-FFF2-40B4-BE49-F238E27FC236}">
              <a16:creationId xmlns:a16="http://schemas.microsoft.com/office/drawing/2014/main" id="{F7ADDC1D-BE4A-8505-58DD-50BAAA1276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mailto:depeau-romain@fashion-insta.com" TargetMode="External"/><Relationship Id="rId2" Type="http://schemas.openxmlformats.org/officeDocument/2006/relationships/hyperlink" Target="mailto:comex-jean@fashion-insta.com" TargetMode="External"/><Relationship Id="rId1" Type="http://schemas.openxmlformats.org/officeDocument/2006/relationships/hyperlink" Target="mailto:masters-alicia@fashion-insta.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depeau-romain@fashion-insta.com" TargetMode="External"/><Relationship Id="rId3" Type="http://schemas.openxmlformats.org/officeDocument/2006/relationships/hyperlink" Target="mailto:masters-alicia@fashion-insta.com" TargetMode="External"/><Relationship Id="rId7" Type="http://schemas.openxmlformats.org/officeDocument/2006/relationships/hyperlink" Target="mailto:comex-jean@fashion-intsa.com" TargetMode="External"/><Relationship Id="rId2" Type="http://schemas.openxmlformats.org/officeDocument/2006/relationships/hyperlink" Target="mailto:depeau-romain@fashion-insta.com" TargetMode="External"/><Relationship Id="rId1" Type="http://schemas.openxmlformats.org/officeDocument/2006/relationships/hyperlink" Target="mailto:comex-jean@fashion-intsa.com" TargetMode="External"/><Relationship Id="rId6" Type="http://schemas.openxmlformats.org/officeDocument/2006/relationships/hyperlink" Target="mailto:masters-alicia@fashion-insta.com" TargetMode="External"/><Relationship Id="rId11" Type="http://schemas.openxmlformats.org/officeDocument/2006/relationships/comments" Target="../comments1.xml"/><Relationship Id="rId5" Type="http://schemas.openxmlformats.org/officeDocument/2006/relationships/hyperlink" Target="mailto:depeau-romain@fashion-insta.com" TargetMode="External"/><Relationship Id="rId10" Type="http://schemas.openxmlformats.org/officeDocument/2006/relationships/vmlDrawing" Target="../drawings/vmlDrawing1.vml"/><Relationship Id="rId4" Type="http://schemas.openxmlformats.org/officeDocument/2006/relationships/hyperlink" Target="mailto:comex-jean@fashion-intsa.com" TargetMode="External"/><Relationship Id="rId9" Type="http://schemas.openxmlformats.org/officeDocument/2006/relationships/hyperlink" Target="mailto:masters-alicia@fashion-insta.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outlinePr summaryBelow="0" summaryRight="0"/>
  </sheetPr>
  <dimension ref="A1:AG1038"/>
  <sheetViews>
    <sheetView zoomScale="70" zoomScaleNormal="70" workbookViewId="0">
      <pane ySplit="1" topLeftCell="A2" activePane="bottomLeft" state="frozen"/>
      <selection activeCell="D1" sqref="D1"/>
      <selection pane="bottomLeft" activeCell="H24" sqref="H24"/>
    </sheetView>
  </sheetViews>
  <sheetFormatPr baseColWidth="10" defaultColWidth="12.54296875" defaultRowHeight="15" customHeight="1" x14ac:dyDescent="0.25"/>
  <cols>
    <col min="1" max="1" width="59.26953125" bestFit="1" customWidth="1"/>
    <col min="2" max="2" width="55.81640625" customWidth="1"/>
    <col min="3" max="4" width="43.453125" customWidth="1"/>
    <col min="5" max="5" width="30" hidden="1" customWidth="1"/>
    <col min="6" max="6" width="43.453125" hidden="1" customWidth="1"/>
    <col min="7" max="7" width="14.81640625" hidden="1" customWidth="1"/>
    <col min="8" max="8" width="29.54296875" bestFit="1" customWidth="1"/>
    <col min="9" max="10" width="29.54296875" customWidth="1"/>
    <col min="11" max="11" width="17.81640625" customWidth="1"/>
    <col min="12" max="12" width="16.1796875" customWidth="1"/>
    <col min="13" max="13" width="12.453125" bestFit="1" customWidth="1"/>
    <col min="14" max="14" width="12.453125" customWidth="1"/>
    <col min="15" max="15" width="12.1796875" bestFit="1" customWidth="1"/>
    <col min="16" max="16" width="12.1796875" customWidth="1"/>
    <col min="17" max="17" width="11.453125" bestFit="1" customWidth="1"/>
    <col min="18" max="18" width="11.453125" customWidth="1"/>
    <col min="19" max="19" width="13.54296875" bestFit="1" customWidth="1"/>
    <col min="20" max="20" width="13.54296875" customWidth="1"/>
    <col min="21" max="21" width="13.81640625" bestFit="1" customWidth="1"/>
    <col min="22" max="22" width="13.81640625" customWidth="1"/>
    <col min="23" max="24" width="5.1796875" customWidth="1"/>
    <col min="25" max="25" width="13.7265625" bestFit="1" customWidth="1"/>
    <col min="26" max="35" width="14.453125" customWidth="1"/>
  </cols>
  <sheetData>
    <row r="1" spans="1:33" ht="15.75" customHeight="1" x14ac:dyDescent="0.3">
      <c r="A1" s="12" t="s">
        <v>0</v>
      </c>
      <c r="B1" s="12" t="s">
        <v>1</v>
      </c>
      <c r="C1" s="12" t="s">
        <v>2</v>
      </c>
      <c r="D1" s="12" t="s">
        <v>3</v>
      </c>
      <c r="E1" s="12" t="s">
        <v>4</v>
      </c>
      <c r="F1" s="12" t="s">
        <v>5</v>
      </c>
      <c r="G1" s="2" t="s">
        <v>33</v>
      </c>
      <c r="H1" s="12" t="s">
        <v>547</v>
      </c>
      <c r="I1" s="12" t="s">
        <v>4</v>
      </c>
      <c r="J1" s="12"/>
      <c r="K1" s="12" t="s">
        <v>53</v>
      </c>
      <c r="L1" s="12"/>
      <c r="M1" s="12" t="s">
        <v>160</v>
      </c>
      <c r="N1" s="12"/>
      <c r="O1" s="12" t="s">
        <v>161</v>
      </c>
      <c r="P1" s="12"/>
      <c r="Q1" s="12" t="s">
        <v>162</v>
      </c>
      <c r="R1" s="12"/>
      <c r="S1" s="12" t="s">
        <v>42</v>
      </c>
      <c r="T1" s="12"/>
      <c r="U1" s="12" t="s">
        <v>43</v>
      </c>
      <c r="V1" s="12"/>
      <c r="W1" s="12" t="s">
        <v>44</v>
      </c>
      <c r="X1" s="12"/>
      <c r="Y1" s="12" t="s">
        <v>163</v>
      </c>
      <c r="Z1" s="12"/>
    </row>
    <row r="2" spans="1:33" ht="39.65" customHeight="1" x14ac:dyDescent="0.3">
      <c r="A2" s="4" t="s">
        <v>6</v>
      </c>
      <c r="B2" s="4" t="s">
        <v>7</v>
      </c>
      <c r="C2" s="4" t="s">
        <v>8</v>
      </c>
      <c r="D2" s="4" t="s">
        <v>12</v>
      </c>
      <c r="E2" s="13">
        <v>50</v>
      </c>
      <c r="F2" s="14" t="s">
        <v>9</v>
      </c>
      <c r="G2" s="8" t="s">
        <v>37</v>
      </c>
      <c r="H2" s="11">
        <v>10</v>
      </c>
      <c r="I2" s="11">
        <v>76</v>
      </c>
      <c r="J2" s="5" t="s">
        <v>48</v>
      </c>
      <c r="K2" s="20">
        <v>0.1</v>
      </c>
      <c r="L2" s="26">
        <f>K2*H2</f>
        <v>1</v>
      </c>
      <c r="M2" s="19">
        <v>0</v>
      </c>
      <c r="N2" s="27">
        <f>M2*H2</f>
        <v>0</v>
      </c>
      <c r="O2" s="19">
        <v>0</v>
      </c>
      <c r="P2" s="27">
        <f>O2*H2</f>
        <v>0</v>
      </c>
      <c r="Q2" s="19">
        <v>0</v>
      </c>
      <c r="R2" s="27">
        <f>Q2*H2</f>
        <v>0</v>
      </c>
      <c r="S2" s="20">
        <v>0.4</v>
      </c>
      <c r="T2" s="26">
        <f>S2*H2</f>
        <v>4</v>
      </c>
      <c r="U2" s="20">
        <v>0.4</v>
      </c>
      <c r="V2" s="26">
        <f>U2*H2</f>
        <v>4</v>
      </c>
      <c r="W2" s="20">
        <v>0</v>
      </c>
      <c r="X2" s="26">
        <f>W2*H2</f>
        <v>0</v>
      </c>
      <c r="Y2" s="20">
        <v>0.1</v>
      </c>
      <c r="Z2" s="7">
        <f>Y2*H2</f>
        <v>1</v>
      </c>
    </row>
    <row r="3" spans="1:33" ht="25.5" x14ac:dyDescent="0.3">
      <c r="A3" s="15" t="s">
        <v>10</v>
      </c>
      <c r="B3" s="4" t="s">
        <v>7</v>
      </c>
      <c r="C3" s="4" t="s">
        <v>11</v>
      </c>
      <c r="D3" s="4" t="s">
        <v>12</v>
      </c>
      <c r="E3" s="7">
        <v>50</v>
      </c>
      <c r="F3" s="14" t="s">
        <v>9</v>
      </c>
      <c r="G3" s="8" t="s">
        <v>37</v>
      </c>
      <c r="H3" s="11">
        <v>25</v>
      </c>
      <c r="I3" s="11">
        <v>76</v>
      </c>
      <c r="J3" s="5" t="s">
        <v>48</v>
      </c>
      <c r="K3" s="20">
        <v>0.08</v>
      </c>
      <c r="L3" s="26">
        <f t="shared" ref="L3:L20" si="0">K3*H3</f>
        <v>2</v>
      </c>
      <c r="M3" s="19">
        <v>0</v>
      </c>
      <c r="N3" s="27">
        <f t="shared" ref="N3:N20" si="1">M3*H3</f>
        <v>0</v>
      </c>
      <c r="O3" s="19">
        <v>0</v>
      </c>
      <c r="P3" s="27">
        <f t="shared" ref="P3:P20" si="2">O3*H3</f>
        <v>0</v>
      </c>
      <c r="Q3" s="19">
        <v>0</v>
      </c>
      <c r="R3" s="27">
        <f t="shared" ref="R3:R20" si="3">Q3*H3</f>
        <v>0</v>
      </c>
      <c r="S3" s="20">
        <v>0.6</v>
      </c>
      <c r="T3" s="26">
        <f t="shared" ref="T3:T20" si="4">S3*H3</f>
        <v>15</v>
      </c>
      <c r="U3" s="20">
        <v>0.28000000000000003</v>
      </c>
      <c r="V3" s="26">
        <f t="shared" ref="V3:V20" si="5">U3*H3</f>
        <v>7.0000000000000009</v>
      </c>
      <c r="W3" s="20">
        <v>0</v>
      </c>
      <c r="X3" s="26">
        <f t="shared" ref="X3:X20" si="6">W3*H3</f>
        <v>0</v>
      </c>
      <c r="Y3" s="20">
        <v>0.04</v>
      </c>
      <c r="Z3" s="7">
        <f t="shared" ref="Z3:Z20" si="7">Y3*H3</f>
        <v>1</v>
      </c>
      <c r="AC3" s="1"/>
      <c r="AD3" s="1"/>
      <c r="AE3" s="1"/>
      <c r="AF3" s="1"/>
      <c r="AG3" s="1"/>
    </row>
    <row r="4" spans="1:33" ht="22.5" customHeight="1" x14ac:dyDescent="0.25">
      <c r="A4" s="15" t="s">
        <v>130</v>
      </c>
      <c r="B4" s="4" t="s">
        <v>7</v>
      </c>
      <c r="C4" s="15" t="s">
        <v>13</v>
      </c>
      <c r="D4" s="15" t="s">
        <v>147</v>
      </c>
      <c r="E4" s="7">
        <v>51</v>
      </c>
      <c r="F4" s="16" t="s">
        <v>21</v>
      </c>
      <c r="G4" s="6" t="s">
        <v>34</v>
      </c>
      <c r="H4" s="11">
        <v>20</v>
      </c>
      <c r="I4" s="11">
        <v>76</v>
      </c>
      <c r="J4" s="5" t="s">
        <v>48</v>
      </c>
      <c r="K4" s="19">
        <v>0.1</v>
      </c>
      <c r="L4" s="26">
        <f t="shared" si="0"/>
        <v>2</v>
      </c>
      <c r="M4" s="19">
        <v>0</v>
      </c>
      <c r="N4" s="27">
        <f t="shared" si="1"/>
        <v>0</v>
      </c>
      <c r="O4" s="19">
        <v>0</v>
      </c>
      <c r="P4" s="27">
        <f t="shared" si="2"/>
        <v>0</v>
      </c>
      <c r="Q4" s="19">
        <v>0</v>
      </c>
      <c r="R4" s="27">
        <f t="shared" si="3"/>
        <v>0</v>
      </c>
      <c r="S4" s="19">
        <v>0.4</v>
      </c>
      <c r="T4" s="26">
        <f t="shared" si="4"/>
        <v>8</v>
      </c>
      <c r="U4" s="19">
        <v>0.4</v>
      </c>
      <c r="V4" s="26">
        <f t="shared" si="5"/>
        <v>8</v>
      </c>
      <c r="W4" s="19">
        <v>0</v>
      </c>
      <c r="X4" s="26">
        <f t="shared" si="6"/>
        <v>0</v>
      </c>
      <c r="Y4" s="19">
        <v>0.1</v>
      </c>
      <c r="Z4" s="7">
        <f t="shared" si="7"/>
        <v>2</v>
      </c>
    </row>
    <row r="5" spans="1:33" ht="37.5" x14ac:dyDescent="0.25">
      <c r="A5" s="15" t="s">
        <v>129</v>
      </c>
      <c r="B5" s="4" t="s">
        <v>7</v>
      </c>
      <c r="C5" s="15" t="s">
        <v>14</v>
      </c>
      <c r="D5" s="15" t="s">
        <v>548</v>
      </c>
      <c r="E5" s="7">
        <v>51</v>
      </c>
      <c r="F5" s="14" t="s">
        <v>22</v>
      </c>
      <c r="G5" s="6" t="s">
        <v>34</v>
      </c>
      <c r="H5" s="11">
        <v>10</v>
      </c>
      <c r="I5" s="11">
        <v>76</v>
      </c>
      <c r="J5" s="5" t="s">
        <v>48</v>
      </c>
      <c r="K5" s="19">
        <v>0.1</v>
      </c>
      <c r="L5" s="26">
        <f t="shared" si="0"/>
        <v>1</v>
      </c>
      <c r="M5" s="19">
        <v>0</v>
      </c>
      <c r="N5" s="27">
        <f t="shared" si="1"/>
        <v>0</v>
      </c>
      <c r="O5" s="19">
        <v>0</v>
      </c>
      <c r="P5" s="27">
        <f t="shared" si="2"/>
        <v>0</v>
      </c>
      <c r="Q5" s="19">
        <v>0</v>
      </c>
      <c r="R5" s="27">
        <f t="shared" si="3"/>
        <v>0</v>
      </c>
      <c r="S5" s="19">
        <v>0.4</v>
      </c>
      <c r="T5" s="26">
        <f t="shared" si="4"/>
        <v>4</v>
      </c>
      <c r="U5" s="19">
        <v>0.4</v>
      </c>
      <c r="V5" s="26">
        <f t="shared" si="5"/>
        <v>4</v>
      </c>
      <c r="W5" s="19">
        <v>0</v>
      </c>
      <c r="X5" s="26">
        <f t="shared" si="6"/>
        <v>0</v>
      </c>
      <c r="Y5" s="19">
        <v>0.1</v>
      </c>
      <c r="Z5" s="7">
        <f t="shared" si="7"/>
        <v>1</v>
      </c>
    </row>
    <row r="6" spans="1:33" ht="25" x14ac:dyDescent="0.25">
      <c r="A6" s="15" t="s">
        <v>131</v>
      </c>
      <c r="B6" s="4" t="s">
        <v>7</v>
      </c>
      <c r="C6" s="15" t="s">
        <v>148</v>
      </c>
      <c r="D6" s="15" t="s">
        <v>149</v>
      </c>
      <c r="E6" s="7">
        <v>70</v>
      </c>
      <c r="F6" s="14" t="s">
        <v>24</v>
      </c>
      <c r="G6" s="6" t="s">
        <v>34</v>
      </c>
      <c r="H6" s="11">
        <v>251</v>
      </c>
      <c r="I6" s="11">
        <v>100</v>
      </c>
      <c r="J6" s="5" t="s">
        <v>48</v>
      </c>
      <c r="K6" s="20">
        <v>0.05</v>
      </c>
      <c r="L6" s="26">
        <f t="shared" si="0"/>
        <v>12.55</v>
      </c>
      <c r="M6" s="20">
        <v>0.03</v>
      </c>
      <c r="N6" s="27">
        <f t="shared" si="1"/>
        <v>7.5299999999999994</v>
      </c>
      <c r="O6" s="20">
        <v>0.5</v>
      </c>
      <c r="P6" s="27">
        <f t="shared" si="2"/>
        <v>125.5</v>
      </c>
      <c r="Q6" s="20">
        <v>0.3</v>
      </c>
      <c r="R6" s="27">
        <f t="shared" si="3"/>
        <v>75.3</v>
      </c>
      <c r="S6" s="20">
        <v>0.05</v>
      </c>
      <c r="T6" s="26">
        <f t="shared" si="4"/>
        <v>12.55</v>
      </c>
      <c r="U6" s="20">
        <v>0.05</v>
      </c>
      <c r="V6" s="26">
        <f t="shared" si="5"/>
        <v>12.55</v>
      </c>
      <c r="W6" s="20">
        <v>0.01</v>
      </c>
      <c r="X6" s="26">
        <f t="shared" si="6"/>
        <v>2.5100000000000002</v>
      </c>
      <c r="Y6" s="20">
        <v>0.01</v>
      </c>
      <c r="Z6" s="7">
        <f t="shared" si="7"/>
        <v>2.5100000000000002</v>
      </c>
    </row>
    <row r="7" spans="1:33" ht="25" x14ac:dyDescent="0.25">
      <c r="A7" s="15" t="s">
        <v>132</v>
      </c>
      <c r="B7" s="4" t="s">
        <v>7</v>
      </c>
      <c r="C7" s="15" t="s">
        <v>150</v>
      </c>
      <c r="D7" s="15" t="s">
        <v>503</v>
      </c>
      <c r="E7" s="7">
        <v>60</v>
      </c>
      <c r="F7" s="14" t="s">
        <v>23</v>
      </c>
      <c r="G7" s="6" t="s">
        <v>34</v>
      </c>
      <c r="H7" s="11">
        <v>251</v>
      </c>
      <c r="I7" s="11">
        <v>100</v>
      </c>
      <c r="J7" s="5" t="s">
        <v>48</v>
      </c>
      <c r="K7" s="20">
        <v>0.05</v>
      </c>
      <c r="L7" s="26">
        <f t="shared" si="0"/>
        <v>12.55</v>
      </c>
      <c r="M7" s="20">
        <v>0.03</v>
      </c>
      <c r="N7" s="27">
        <f t="shared" si="1"/>
        <v>7.5299999999999994</v>
      </c>
      <c r="O7" s="20">
        <v>0.5</v>
      </c>
      <c r="P7" s="27">
        <f t="shared" si="2"/>
        <v>125.5</v>
      </c>
      <c r="Q7" s="20">
        <v>0.3</v>
      </c>
      <c r="R7" s="27">
        <f t="shared" si="3"/>
        <v>75.3</v>
      </c>
      <c r="S7" s="20">
        <v>0.05</v>
      </c>
      <c r="T7" s="26">
        <f t="shared" si="4"/>
        <v>12.55</v>
      </c>
      <c r="U7" s="20">
        <v>0.05</v>
      </c>
      <c r="V7" s="26">
        <f t="shared" si="5"/>
        <v>12.55</v>
      </c>
      <c r="W7" s="20">
        <v>0.01</v>
      </c>
      <c r="X7" s="26">
        <f t="shared" si="6"/>
        <v>2.5100000000000002</v>
      </c>
      <c r="Y7" s="20">
        <v>0.01</v>
      </c>
      <c r="Z7" s="7">
        <f t="shared" si="7"/>
        <v>2.5100000000000002</v>
      </c>
    </row>
    <row r="8" spans="1:33" ht="37.5" x14ac:dyDescent="0.25">
      <c r="A8" s="15" t="s">
        <v>133</v>
      </c>
      <c r="B8" s="4" t="s">
        <v>7</v>
      </c>
      <c r="C8" s="15" t="s">
        <v>29</v>
      </c>
      <c r="D8" s="15" t="s">
        <v>555</v>
      </c>
      <c r="E8" s="7">
        <v>50</v>
      </c>
      <c r="F8" s="7"/>
      <c r="G8" s="8" t="s">
        <v>37</v>
      </c>
      <c r="H8" s="11">
        <v>20</v>
      </c>
      <c r="I8" s="11">
        <v>25</v>
      </c>
      <c r="J8" s="5" t="s">
        <v>51</v>
      </c>
      <c r="K8" s="20">
        <v>0.08</v>
      </c>
      <c r="L8" s="26">
        <f t="shared" si="0"/>
        <v>1.6</v>
      </c>
      <c r="M8" s="19">
        <v>0</v>
      </c>
      <c r="N8" s="27">
        <f t="shared" si="1"/>
        <v>0</v>
      </c>
      <c r="O8" s="19">
        <v>0</v>
      </c>
      <c r="P8" s="27">
        <f t="shared" si="2"/>
        <v>0</v>
      </c>
      <c r="Q8" s="19">
        <v>0</v>
      </c>
      <c r="R8" s="27">
        <f t="shared" si="3"/>
        <v>0</v>
      </c>
      <c r="S8" s="20">
        <v>0.6</v>
      </c>
      <c r="T8" s="26">
        <f t="shared" si="4"/>
        <v>12</v>
      </c>
      <c r="U8" s="20">
        <v>0.28000000000000003</v>
      </c>
      <c r="V8" s="26">
        <f t="shared" si="5"/>
        <v>5.6000000000000005</v>
      </c>
      <c r="W8" s="20">
        <v>0</v>
      </c>
      <c r="X8" s="26">
        <f t="shared" si="6"/>
        <v>0</v>
      </c>
      <c r="Y8" s="20">
        <v>0.04</v>
      </c>
      <c r="Z8" s="7">
        <f t="shared" si="7"/>
        <v>0.8</v>
      </c>
    </row>
    <row r="9" spans="1:33" ht="25" x14ac:dyDescent="0.25">
      <c r="A9" s="15" t="s">
        <v>134</v>
      </c>
      <c r="B9" s="4" t="s">
        <v>7</v>
      </c>
      <c r="C9" s="15" t="s">
        <v>30</v>
      </c>
      <c r="D9" s="15" t="s">
        <v>556</v>
      </c>
      <c r="E9" s="7">
        <v>51</v>
      </c>
      <c r="F9" s="7"/>
      <c r="G9" s="6" t="s">
        <v>34</v>
      </c>
      <c r="H9" s="11">
        <v>25</v>
      </c>
      <c r="I9" s="11">
        <v>25</v>
      </c>
      <c r="J9" s="5" t="s">
        <v>51</v>
      </c>
      <c r="K9" s="20">
        <v>0.08</v>
      </c>
      <c r="L9" s="26">
        <f t="shared" si="0"/>
        <v>2</v>
      </c>
      <c r="M9" s="19">
        <v>0</v>
      </c>
      <c r="N9" s="27">
        <f t="shared" si="1"/>
        <v>0</v>
      </c>
      <c r="O9" s="19">
        <v>0</v>
      </c>
      <c r="P9" s="27">
        <f t="shared" si="2"/>
        <v>0</v>
      </c>
      <c r="Q9" s="19">
        <v>0</v>
      </c>
      <c r="R9" s="27">
        <f t="shared" si="3"/>
        <v>0</v>
      </c>
      <c r="S9" s="20">
        <v>0.6</v>
      </c>
      <c r="T9" s="26">
        <f t="shared" si="4"/>
        <v>15</v>
      </c>
      <c r="U9" s="20">
        <v>0.28000000000000003</v>
      </c>
      <c r="V9" s="26">
        <f t="shared" si="5"/>
        <v>7.0000000000000009</v>
      </c>
      <c r="W9" s="20">
        <v>0</v>
      </c>
      <c r="X9" s="26">
        <f t="shared" si="6"/>
        <v>0</v>
      </c>
      <c r="Y9" s="20">
        <v>0.04</v>
      </c>
      <c r="Z9" s="7">
        <f t="shared" si="7"/>
        <v>1</v>
      </c>
    </row>
    <row r="10" spans="1:33" ht="25" x14ac:dyDescent="0.25">
      <c r="A10" s="15" t="s">
        <v>135</v>
      </c>
      <c r="B10" s="4" t="s">
        <v>7</v>
      </c>
      <c r="C10" s="15" t="s">
        <v>31</v>
      </c>
      <c r="D10" s="15" t="s">
        <v>557</v>
      </c>
      <c r="E10" s="7">
        <v>51</v>
      </c>
      <c r="F10" s="7"/>
      <c r="G10" s="6" t="s">
        <v>34</v>
      </c>
      <c r="H10" s="11">
        <v>25</v>
      </c>
      <c r="I10" s="11">
        <v>25</v>
      </c>
      <c r="J10" s="5" t="s">
        <v>51</v>
      </c>
      <c r="K10" s="20">
        <v>0.08</v>
      </c>
      <c r="L10" s="26">
        <f t="shared" si="0"/>
        <v>2</v>
      </c>
      <c r="M10" s="19">
        <v>0</v>
      </c>
      <c r="N10" s="27">
        <f t="shared" si="1"/>
        <v>0</v>
      </c>
      <c r="O10" s="19">
        <v>0</v>
      </c>
      <c r="P10" s="27">
        <f t="shared" si="2"/>
        <v>0</v>
      </c>
      <c r="Q10" s="19">
        <v>0</v>
      </c>
      <c r="R10" s="27">
        <f t="shared" si="3"/>
        <v>0</v>
      </c>
      <c r="S10" s="20">
        <v>0.6</v>
      </c>
      <c r="T10" s="26">
        <f t="shared" si="4"/>
        <v>15</v>
      </c>
      <c r="U10" s="20">
        <v>0.28000000000000003</v>
      </c>
      <c r="V10" s="26">
        <f t="shared" si="5"/>
        <v>7.0000000000000009</v>
      </c>
      <c r="W10" s="20">
        <v>0</v>
      </c>
      <c r="X10" s="26">
        <f t="shared" si="6"/>
        <v>0</v>
      </c>
      <c r="Y10" s="20">
        <v>0.04</v>
      </c>
      <c r="Z10" s="7">
        <f t="shared" si="7"/>
        <v>1</v>
      </c>
    </row>
    <row r="11" spans="1:33" ht="37.5" x14ac:dyDescent="0.25">
      <c r="A11" s="15" t="s">
        <v>136</v>
      </c>
      <c r="B11" s="4" t="s">
        <v>7</v>
      </c>
      <c r="C11" s="15" t="s">
        <v>32</v>
      </c>
      <c r="D11" s="15" t="s">
        <v>558</v>
      </c>
      <c r="E11" s="7">
        <v>70</v>
      </c>
      <c r="F11" s="7"/>
      <c r="G11" s="6" t="s">
        <v>34</v>
      </c>
      <c r="H11" s="11">
        <v>25</v>
      </c>
      <c r="I11" s="11">
        <v>25</v>
      </c>
      <c r="J11" s="5" t="s">
        <v>51</v>
      </c>
      <c r="K11" s="20">
        <v>0.08</v>
      </c>
      <c r="L11" s="26">
        <f t="shared" si="0"/>
        <v>2</v>
      </c>
      <c r="M11" s="19">
        <v>0</v>
      </c>
      <c r="N11" s="27">
        <f t="shared" si="1"/>
        <v>0</v>
      </c>
      <c r="O11" s="19">
        <v>0</v>
      </c>
      <c r="P11" s="27">
        <f t="shared" si="2"/>
        <v>0</v>
      </c>
      <c r="Q11" s="19">
        <v>0</v>
      </c>
      <c r="R11" s="27">
        <f t="shared" si="3"/>
        <v>0</v>
      </c>
      <c r="S11" s="20">
        <v>0.6</v>
      </c>
      <c r="T11" s="26">
        <f t="shared" si="4"/>
        <v>15</v>
      </c>
      <c r="U11" s="20">
        <v>0.28000000000000003</v>
      </c>
      <c r="V11" s="26">
        <f t="shared" si="5"/>
        <v>7.0000000000000009</v>
      </c>
      <c r="W11" s="20">
        <v>0</v>
      </c>
      <c r="X11" s="26">
        <f t="shared" si="6"/>
        <v>0</v>
      </c>
      <c r="Y11" s="20">
        <v>0.04</v>
      </c>
      <c r="Z11" s="7">
        <f t="shared" si="7"/>
        <v>1</v>
      </c>
    </row>
    <row r="12" spans="1:33" ht="37.5" x14ac:dyDescent="0.25">
      <c r="A12" s="15" t="s">
        <v>151</v>
      </c>
      <c r="B12" s="4" t="s">
        <v>7</v>
      </c>
      <c r="C12" s="15" t="s">
        <v>152</v>
      </c>
      <c r="D12" s="15" t="s">
        <v>153</v>
      </c>
      <c r="E12" s="7">
        <v>20</v>
      </c>
      <c r="F12" s="14" t="s">
        <v>9</v>
      </c>
      <c r="G12" s="9" t="s">
        <v>36</v>
      </c>
      <c r="H12" s="11">
        <v>20</v>
      </c>
      <c r="I12" s="11">
        <v>100</v>
      </c>
      <c r="J12" s="5" t="s">
        <v>48</v>
      </c>
      <c r="K12" s="20">
        <v>0.15</v>
      </c>
      <c r="L12" s="26">
        <f t="shared" si="0"/>
        <v>3</v>
      </c>
      <c r="M12" s="20">
        <v>0.15</v>
      </c>
      <c r="N12" s="27">
        <f t="shared" si="1"/>
        <v>3</v>
      </c>
      <c r="O12" s="20">
        <v>0.3</v>
      </c>
      <c r="P12" s="27">
        <f t="shared" si="2"/>
        <v>6</v>
      </c>
      <c r="Q12" s="20">
        <v>0.28000000000000003</v>
      </c>
      <c r="R12" s="27">
        <f t="shared" si="3"/>
        <v>5.6000000000000005</v>
      </c>
      <c r="S12" s="20">
        <v>0.05</v>
      </c>
      <c r="T12" s="26">
        <f t="shared" si="4"/>
        <v>1</v>
      </c>
      <c r="U12" s="20">
        <v>0.05</v>
      </c>
      <c r="V12" s="26">
        <f t="shared" si="5"/>
        <v>1</v>
      </c>
      <c r="W12" s="20">
        <v>0.01</v>
      </c>
      <c r="X12" s="26">
        <f t="shared" si="6"/>
        <v>0.2</v>
      </c>
      <c r="Y12" s="20">
        <v>0.01</v>
      </c>
      <c r="Z12" s="7">
        <f t="shared" si="7"/>
        <v>0.2</v>
      </c>
    </row>
    <row r="13" spans="1:33" ht="25" x14ac:dyDescent="0.25">
      <c r="A13" s="15" t="s">
        <v>15</v>
      </c>
      <c r="B13" s="4" t="s">
        <v>7</v>
      </c>
      <c r="C13" s="15" t="s">
        <v>154</v>
      </c>
      <c r="D13" s="15" t="s">
        <v>155</v>
      </c>
      <c r="E13" s="7">
        <v>100</v>
      </c>
      <c r="F13" s="14" t="s">
        <v>25</v>
      </c>
      <c r="G13" s="3" t="s">
        <v>35</v>
      </c>
      <c r="H13" s="11">
        <v>60</v>
      </c>
      <c r="I13" s="11">
        <v>75</v>
      </c>
      <c r="J13" s="5" t="s">
        <v>49</v>
      </c>
      <c r="K13" s="20">
        <v>0.1</v>
      </c>
      <c r="L13" s="26">
        <f t="shared" si="0"/>
        <v>6</v>
      </c>
      <c r="M13" s="20">
        <v>0</v>
      </c>
      <c r="N13" s="27">
        <f t="shared" si="1"/>
        <v>0</v>
      </c>
      <c r="O13" s="19">
        <v>0</v>
      </c>
      <c r="P13" s="27">
        <f t="shared" si="2"/>
        <v>0</v>
      </c>
      <c r="Q13" s="19">
        <v>0</v>
      </c>
      <c r="R13" s="27">
        <f t="shared" si="3"/>
        <v>0</v>
      </c>
      <c r="S13" s="20">
        <v>0.68</v>
      </c>
      <c r="T13" s="26">
        <f t="shared" si="4"/>
        <v>40.800000000000004</v>
      </c>
      <c r="U13" s="20">
        <v>0.2</v>
      </c>
      <c r="V13" s="26">
        <f t="shared" si="5"/>
        <v>12</v>
      </c>
      <c r="W13" s="20">
        <v>0</v>
      </c>
      <c r="X13" s="26">
        <f t="shared" si="6"/>
        <v>0</v>
      </c>
      <c r="Y13" s="20">
        <v>0.02</v>
      </c>
      <c r="Z13" s="7">
        <f t="shared" si="7"/>
        <v>1.2</v>
      </c>
    </row>
    <row r="14" spans="1:33" ht="25" x14ac:dyDescent="0.25">
      <c r="A14" s="15" t="s">
        <v>137</v>
      </c>
      <c r="B14" s="4" t="s">
        <v>7</v>
      </c>
      <c r="C14" s="15" t="s">
        <v>156</v>
      </c>
      <c r="D14" s="15" t="s">
        <v>155</v>
      </c>
      <c r="E14" s="7">
        <v>100</v>
      </c>
      <c r="F14" s="17" t="s">
        <v>25</v>
      </c>
      <c r="G14" s="3" t="s">
        <v>35</v>
      </c>
      <c r="H14" s="11">
        <v>60</v>
      </c>
      <c r="I14" s="11">
        <v>75</v>
      </c>
      <c r="J14" s="5" t="s">
        <v>49</v>
      </c>
      <c r="K14" s="20">
        <v>0.1</v>
      </c>
      <c r="L14" s="26">
        <f t="shared" si="0"/>
        <v>6</v>
      </c>
      <c r="M14" s="20">
        <v>0</v>
      </c>
      <c r="N14" s="27">
        <f t="shared" si="1"/>
        <v>0</v>
      </c>
      <c r="O14" s="19">
        <v>0</v>
      </c>
      <c r="P14" s="27">
        <f t="shared" si="2"/>
        <v>0</v>
      </c>
      <c r="Q14" s="19">
        <v>0</v>
      </c>
      <c r="R14" s="27">
        <f t="shared" si="3"/>
        <v>0</v>
      </c>
      <c r="S14" s="20">
        <v>0.68</v>
      </c>
      <c r="T14" s="26">
        <f t="shared" si="4"/>
        <v>40.800000000000004</v>
      </c>
      <c r="U14" s="20">
        <v>0.2</v>
      </c>
      <c r="V14" s="26">
        <f t="shared" si="5"/>
        <v>12</v>
      </c>
      <c r="W14" s="20">
        <v>0.01</v>
      </c>
      <c r="X14" s="26">
        <f t="shared" si="6"/>
        <v>0.6</v>
      </c>
      <c r="Y14" s="20">
        <v>0.01</v>
      </c>
      <c r="Z14" s="7">
        <f t="shared" si="7"/>
        <v>0.6</v>
      </c>
    </row>
    <row r="15" spans="1:33" ht="62.5" x14ac:dyDescent="0.25">
      <c r="A15" s="15" t="s">
        <v>157</v>
      </c>
      <c r="B15" s="4" t="s">
        <v>7</v>
      </c>
      <c r="C15" s="15" t="s">
        <v>158</v>
      </c>
      <c r="D15" s="15" t="s">
        <v>155</v>
      </c>
      <c r="E15" s="7">
        <v>76</v>
      </c>
      <c r="F15" s="17" t="s">
        <v>27</v>
      </c>
      <c r="G15" s="3" t="s">
        <v>35</v>
      </c>
      <c r="H15" s="11">
        <v>60</v>
      </c>
      <c r="I15" s="11">
        <v>75</v>
      </c>
      <c r="J15" s="5" t="s">
        <v>49</v>
      </c>
      <c r="K15" s="20">
        <v>0.1</v>
      </c>
      <c r="L15" s="26">
        <f t="shared" si="0"/>
        <v>6</v>
      </c>
      <c r="M15" s="20">
        <v>0</v>
      </c>
      <c r="N15" s="27">
        <f t="shared" si="1"/>
        <v>0</v>
      </c>
      <c r="O15" s="19">
        <v>0</v>
      </c>
      <c r="P15" s="27">
        <f t="shared" si="2"/>
        <v>0</v>
      </c>
      <c r="Q15" s="19">
        <v>0</v>
      </c>
      <c r="R15" s="27">
        <f t="shared" si="3"/>
        <v>0</v>
      </c>
      <c r="S15" s="20">
        <v>0.68</v>
      </c>
      <c r="T15" s="26">
        <f t="shared" si="4"/>
        <v>40.800000000000004</v>
      </c>
      <c r="U15" s="20">
        <v>0.2</v>
      </c>
      <c r="V15" s="26">
        <f t="shared" si="5"/>
        <v>12</v>
      </c>
      <c r="W15" s="20">
        <v>0.01</v>
      </c>
      <c r="X15" s="26">
        <f t="shared" si="6"/>
        <v>0.6</v>
      </c>
      <c r="Y15" s="20">
        <v>0.01</v>
      </c>
      <c r="Z15" s="7">
        <f t="shared" si="7"/>
        <v>0.6</v>
      </c>
    </row>
    <row r="16" spans="1:33" ht="62.5" x14ac:dyDescent="0.25">
      <c r="A16" s="15" t="s">
        <v>138</v>
      </c>
      <c r="B16" s="4" t="s">
        <v>7</v>
      </c>
      <c r="C16" s="15" t="s">
        <v>159</v>
      </c>
      <c r="D16" s="15" t="s">
        <v>155</v>
      </c>
      <c r="E16" s="7">
        <v>100</v>
      </c>
      <c r="F16" s="17" t="s">
        <v>26</v>
      </c>
      <c r="G16" s="3" t="s">
        <v>35</v>
      </c>
      <c r="H16" s="11">
        <v>60</v>
      </c>
      <c r="I16" s="11">
        <v>75</v>
      </c>
      <c r="J16" s="5" t="s">
        <v>49</v>
      </c>
      <c r="K16" s="20">
        <v>0.1</v>
      </c>
      <c r="L16" s="26">
        <f t="shared" si="0"/>
        <v>6</v>
      </c>
      <c r="M16" s="20">
        <v>0</v>
      </c>
      <c r="N16" s="27">
        <f t="shared" si="1"/>
        <v>0</v>
      </c>
      <c r="O16" s="19">
        <v>0</v>
      </c>
      <c r="P16" s="27">
        <f t="shared" si="2"/>
        <v>0</v>
      </c>
      <c r="Q16" s="19">
        <v>0</v>
      </c>
      <c r="R16" s="27">
        <f t="shared" si="3"/>
        <v>0</v>
      </c>
      <c r="S16" s="20">
        <v>0.68</v>
      </c>
      <c r="T16" s="26">
        <f t="shared" si="4"/>
        <v>40.800000000000004</v>
      </c>
      <c r="U16" s="20">
        <v>0.2</v>
      </c>
      <c r="V16" s="26">
        <f t="shared" si="5"/>
        <v>12</v>
      </c>
      <c r="W16" s="20">
        <v>0.01</v>
      </c>
      <c r="X16" s="26">
        <f t="shared" si="6"/>
        <v>0.6</v>
      </c>
      <c r="Y16" s="20">
        <v>0.01</v>
      </c>
      <c r="Z16" s="7">
        <f t="shared" si="7"/>
        <v>0.6</v>
      </c>
    </row>
    <row r="17" spans="1:26" ht="25" x14ac:dyDescent="0.25">
      <c r="A17" s="15" t="s">
        <v>16</v>
      </c>
      <c r="B17" s="4" t="s">
        <v>7</v>
      </c>
      <c r="C17" s="15" t="s">
        <v>17</v>
      </c>
      <c r="D17" s="15" t="s">
        <v>559</v>
      </c>
      <c r="E17" s="7">
        <v>76</v>
      </c>
      <c r="F17" s="17" t="s">
        <v>25</v>
      </c>
      <c r="G17" s="3" t="s">
        <v>35</v>
      </c>
      <c r="H17" s="11">
        <v>20</v>
      </c>
      <c r="I17" s="11">
        <v>11</v>
      </c>
      <c r="J17" s="5" t="s">
        <v>51</v>
      </c>
      <c r="K17" s="20">
        <v>0.1</v>
      </c>
      <c r="L17" s="26">
        <f t="shared" si="0"/>
        <v>2</v>
      </c>
      <c r="M17" s="19">
        <v>0</v>
      </c>
      <c r="N17" s="27">
        <f t="shared" si="1"/>
        <v>0</v>
      </c>
      <c r="O17" s="19">
        <v>0</v>
      </c>
      <c r="P17" s="27">
        <f t="shared" si="2"/>
        <v>0</v>
      </c>
      <c r="Q17" s="19">
        <v>0</v>
      </c>
      <c r="R17" s="27">
        <f t="shared" si="3"/>
        <v>0</v>
      </c>
      <c r="S17" s="20">
        <v>0.4</v>
      </c>
      <c r="T17" s="26">
        <f t="shared" si="4"/>
        <v>8</v>
      </c>
      <c r="U17" s="20">
        <v>0.2</v>
      </c>
      <c r="V17" s="26">
        <f t="shared" si="5"/>
        <v>4</v>
      </c>
      <c r="W17" s="20">
        <v>0.2</v>
      </c>
      <c r="X17" s="26">
        <f t="shared" si="6"/>
        <v>4</v>
      </c>
      <c r="Y17" s="20">
        <v>0.1</v>
      </c>
      <c r="Z17" s="7">
        <f t="shared" si="7"/>
        <v>2</v>
      </c>
    </row>
    <row r="18" spans="1:26" ht="37.5" x14ac:dyDescent="0.25">
      <c r="A18" s="15" t="s">
        <v>16</v>
      </c>
      <c r="B18" s="4" t="s">
        <v>7</v>
      </c>
      <c r="C18" s="15" t="s">
        <v>18</v>
      </c>
      <c r="D18" s="15" t="s">
        <v>560</v>
      </c>
      <c r="E18" s="7">
        <v>76</v>
      </c>
      <c r="F18" s="17" t="s">
        <v>25</v>
      </c>
      <c r="G18" s="3" t="s">
        <v>35</v>
      </c>
      <c r="H18" s="11">
        <v>20</v>
      </c>
      <c r="I18" s="11">
        <v>11</v>
      </c>
      <c r="J18" s="5" t="s">
        <v>51</v>
      </c>
      <c r="K18" s="20">
        <v>0.1</v>
      </c>
      <c r="L18" s="26">
        <f t="shared" si="0"/>
        <v>2</v>
      </c>
      <c r="M18" s="19">
        <v>0</v>
      </c>
      <c r="N18" s="27">
        <f t="shared" si="1"/>
        <v>0</v>
      </c>
      <c r="O18" s="19">
        <v>0</v>
      </c>
      <c r="P18" s="27">
        <f t="shared" si="2"/>
        <v>0</v>
      </c>
      <c r="Q18" s="19">
        <v>0</v>
      </c>
      <c r="R18" s="27">
        <f t="shared" si="3"/>
        <v>0</v>
      </c>
      <c r="S18" s="20">
        <v>0.4</v>
      </c>
      <c r="T18" s="26">
        <f t="shared" si="4"/>
        <v>8</v>
      </c>
      <c r="U18" s="20">
        <v>0.2</v>
      </c>
      <c r="V18" s="26">
        <f t="shared" si="5"/>
        <v>4</v>
      </c>
      <c r="W18" s="20">
        <v>0.2</v>
      </c>
      <c r="X18" s="26">
        <f t="shared" si="6"/>
        <v>4</v>
      </c>
      <c r="Y18" s="20">
        <v>0.1</v>
      </c>
      <c r="Z18" s="7">
        <f t="shared" si="7"/>
        <v>2</v>
      </c>
    </row>
    <row r="19" spans="1:26" ht="37.5" x14ac:dyDescent="0.25">
      <c r="A19" s="15" t="s">
        <v>16</v>
      </c>
      <c r="B19" s="4" t="s">
        <v>7</v>
      </c>
      <c r="C19" s="15" t="s">
        <v>19</v>
      </c>
      <c r="D19" s="15" t="s">
        <v>561</v>
      </c>
      <c r="E19" s="7">
        <v>76</v>
      </c>
      <c r="F19" s="17" t="s">
        <v>25</v>
      </c>
      <c r="G19" s="3" t="s">
        <v>35</v>
      </c>
      <c r="H19" s="11">
        <v>20</v>
      </c>
      <c r="I19" s="11">
        <v>11</v>
      </c>
      <c r="J19" s="5" t="s">
        <v>51</v>
      </c>
      <c r="K19" s="20">
        <v>0.1</v>
      </c>
      <c r="L19" s="26">
        <f t="shared" si="0"/>
        <v>2</v>
      </c>
      <c r="M19" s="19">
        <v>0</v>
      </c>
      <c r="N19" s="27">
        <f t="shared" si="1"/>
        <v>0</v>
      </c>
      <c r="O19" s="19">
        <v>0</v>
      </c>
      <c r="P19" s="27">
        <f t="shared" si="2"/>
        <v>0</v>
      </c>
      <c r="Q19" s="19">
        <v>0</v>
      </c>
      <c r="R19" s="27">
        <f t="shared" si="3"/>
        <v>0</v>
      </c>
      <c r="S19" s="20">
        <v>0.4</v>
      </c>
      <c r="T19" s="26">
        <f t="shared" si="4"/>
        <v>8</v>
      </c>
      <c r="U19" s="20">
        <v>0.2</v>
      </c>
      <c r="V19" s="26">
        <f t="shared" si="5"/>
        <v>4</v>
      </c>
      <c r="W19" s="20">
        <v>0.2</v>
      </c>
      <c r="X19" s="26">
        <f t="shared" si="6"/>
        <v>4</v>
      </c>
      <c r="Y19" s="20">
        <v>0.1</v>
      </c>
      <c r="Z19" s="7">
        <f t="shared" si="7"/>
        <v>2</v>
      </c>
    </row>
    <row r="20" spans="1:26" ht="37.5" x14ac:dyDescent="0.25">
      <c r="A20" s="15" t="s">
        <v>16</v>
      </c>
      <c r="B20" s="4" t="s">
        <v>20</v>
      </c>
      <c r="C20" s="15" t="s">
        <v>54</v>
      </c>
      <c r="D20" s="15" t="s">
        <v>562</v>
      </c>
      <c r="E20" s="7">
        <v>76</v>
      </c>
      <c r="F20" s="17" t="s">
        <v>28</v>
      </c>
      <c r="G20" s="3" t="s">
        <v>35</v>
      </c>
      <c r="H20" s="11">
        <v>20</v>
      </c>
      <c r="I20" s="11">
        <v>11</v>
      </c>
      <c r="J20" s="5" t="s">
        <v>51</v>
      </c>
      <c r="K20" s="20">
        <v>0.1</v>
      </c>
      <c r="L20" s="26">
        <f t="shared" si="0"/>
        <v>2</v>
      </c>
      <c r="M20" s="19">
        <v>0</v>
      </c>
      <c r="N20" s="27">
        <f t="shared" si="1"/>
        <v>0</v>
      </c>
      <c r="O20" s="19">
        <v>0</v>
      </c>
      <c r="P20" s="27">
        <f t="shared" si="2"/>
        <v>0</v>
      </c>
      <c r="Q20" s="19">
        <v>0</v>
      </c>
      <c r="R20" s="27">
        <f t="shared" si="3"/>
        <v>0</v>
      </c>
      <c r="S20" s="20">
        <v>0.4</v>
      </c>
      <c r="T20" s="26">
        <f t="shared" si="4"/>
        <v>8</v>
      </c>
      <c r="U20" s="20">
        <v>0</v>
      </c>
      <c r="V20" s="26">
        <f t="shared" si="5"/>
        <v>0</v>
      </c>
      <c r="W20" s="20">
        <v>0.4</v>
      </c>
      <c r="X20" s="26">
        <f t="shared" si="6"/>
        <v>8</v>
      </c>
      <c r="Y20" s="20">
        <v>0.1</v>
      </c>
      <c r="Z20" s="7">
        <f t="shared" si="7"/>
        <v>2</v>
      </c>
    </row>
    <row r="21" spans="1:26" ht="13" x14ac:dyDescent="0.3">
      <c r="D21" s="12" t="s">
        <v>62</v>
      </c>
      <c r="E21" s="7"/>
      <c r="F21" s="7"/>
      <c r="G21" s="7"/>
      <c r="H21" s="7">
        <f>SUM(H2:H20)</f>
        <v>1002</v>
      </c>
      <c r="I21" s="7"/>
      <c r="J21" s="7"/>
      <c r="K21" s="7"/>
      <c r="L21" s="7">
        <f>SUM(L2:L20)</f>
        <v>73.7</v>
      </c>
      <c r="M21" s="7"/>
      <c r="N21" s="7">
        <f>SUM(N2:N20)</f>
        <v>18.059999999999999</v>
      </c>
      <c r="O21" s="7"/>
      <c r="P21" s="7">
        <f>SUM(P2:P20)</f>
        <v>257</v>
      </c>
      <c r="Q21" s="7"/>
      <c r="R21" s="7">
        <f>SUM(R2:R20)</f>
        <v>156.19999999999999</v>
      </c>
      <c r="S21" s="7"/>
      <c r="T21" s="7">
        <f>SUM(T2:T20)</f>
        <v>309.3</v>
      </c>
      <c r="U21" s="7"/>
      <c r="V21" s="7">
        <f>SUM(V2:V20)</f>
        <v>135.69999999999999</v>
      </c>
      <c r="W21" s="7"/>
      <c r="X21" s="7">
        <f>SUM(X2:X20)</f>
        <v>27.02</v>
      </c>
      <c r="Y21" s="7"/>
      <c r="Z21" s="7">
        <f>SUM(Z2:Z20)</f>
        <v>25.02</v>
      </c>
    </row>
    <row r="22" spans="1:26" ht="12.5" x14ac:dyDescent="0.25"/>
    <row r="23" spans="1:26" ht="15.75" customHeight="1" x14ac:dyDescent="0.25">
      <c r="A23" s="2" t="s">
        <v>33</v>
      </c>
      <c r="B23" s="2" t="s">
        <v>4</v>
      </c>
      <c r="C23" s="2" t="s">
        <v>46</v>
      </c>
    </row>
    <row r="24" spans="1:26" ht="15.75" customHeight="1" x14ac:dyDescent="0.25">
      <c r="A24" s="71" t="s">
        <v>35</v>
      </c>
      <c r="B24" s="10" t="s">
        <v>40</v>
      </c>
      <c r="C24" s="5" t="s">
        <v>48</v>
      </c>
    </row>
    <row r="25" spans="1:26" ht="15.75" customHeight="1" x14ac:dyDescent="0.25">
      <c r="A25" s="72" t="s">
        <v>34</v>
      </c>
      <c r="B25" s="11" t="s">
        <v>39</v>
      </c>
      <c r="C25" s="5" t="s">
        <v>49</v>
      </c>
    </row>
    <row r="26" spans="1:26" ht="15.75" customHeight="1" x14ac:dyDescent="0.25">
      <c r="A26" s="73" t="s">
        <v>37</v>
      </c>
      <c r="B26" s="11" t="s">
        <v>38</v>
      </c>
      <c r="C26" s="5" t="s">
        <v>50</v>
      </c>
    </row>
    <row r="27" spans="1:26" ht="15.75" customHeight="1" x14ac:dyDescent="0.25">
      <c r="A27" s="74" t="s">
        <v>36</v>
      </c>
      <c r="B27" s="18" t="s">
        <v>47</v>
      </c>
      <c r="C27" s="5" t="s">
        <v>51</v>
      </c>
    </row>
    <row r="28" spans="1:26" ht="15.75" customHeight="1" x14ac:dyDescent="0.25">
      <c r="A28" s="75" t="s">
        <v>45</v>
      </c>
      <c r="B28" s="11" t="s">
        <v>41</v>
      </c>
      <c r="C28" s="5" t="s">
        <v>52</v>
      </c>
    </row>
    <row r="29" spans="1:26" ht="15.75" customHeight="1" thickBot="1" x14ac:dyDescent="0.3"/>
    <row r="30" spans="1:26" ht="32.15" customHeight="1" thickBot="1" x14ac:dyDescent="0.5">
      <c r="A30" s="212" t="s">
        <v>113</v>
      </c>
      <c r="B30" s="213"/>
      <c r="C30" s="213"/>
      <c r="D30" s="213"/>
      <c r="E30" s="213"/>
      <c r="F30" s="213"/>
      <c r="G30" s="213"/>
      <c r="H30" s="213"/>
      <c r="I30" s="213"/>
      <c r="J30" s="213"/>
      <c r="K30" s="213"/>
      <c r="L30" s="213"/>
      <c r="M30" s="213"/>
      <c r="N30" s="213"/>
      <c r="O30" s="213"/>
      <c r="P30" s="214"/>
    </row>
    <row r="31" spans="1:26" ht="15.75" customHeight="1" x14ac:dyDescent="0.25"/>
    <row r="32" spans="1:26" ht="15.75" customHeight="1" x14ac:dyDescent="0.25">
      <c r="A32" s="217" t="s">
        <v>61</v>
      </c>
      <c r="B32" s="218"/>
      <c r="C32" s="218"/>
      <c r="D32" s="218"/>
      <c r="E32" s="218"/>
      <c r="F32" s="218"/>
      <c r="G32" s="218"/>
      <c r="H32" s="218"/>
      <c r="I32" s="209"/>
      <c r="J32" s="204"/>
    </row>
    <row r="33" spans="1:16" ht="15.75" customHeight="1" x14ac:dyDescent="0.25">
      <c r="A33" s="21" t="s">
        <v>168</v>
      </c>
      <c r="B33" s="21" t="s">
        <v>167</v>
      </c>
      <c r="C33" s="21" t="s">
        <v>166</v>
      </c>
      <c r="D33" s="21" t="s">
        <v>140</v>
      </c>
      <c r="E33" s="211"/>
      <c r="F33" s="211"/>
      <c r="G33" s="211"/>
      <c r="H33" s="203" t="s">
        <v>127</v>
      </c>
      <c r="I33" s="21" t="s">
        <v>59</v>
      </c>
      <c r="J33" s="205"/>
    </row>
    <row r="34" spans="1:16" ht="61" customHeight="1" x14ac:dyDescent="0.3">
      <c r="A34" s="22" t="s">
        <v>55</v>
      </c>
      <c r="B34" s="202" t="s">
        <v>169</v>
      </c>
      <c r="C34" s="24">
        <f>V21</f>
        <v>135.69999999999999</v>
      </c>
      <c r="D34" s="23">
        <f>120000/12</f>
        <v>10000</v>
      </c>
      <c r="E34" s="211"/>
      <c r="F34" s="211"/>
      <c r="G34" s="211"/>
      <c r="H34" s="207">
        <f>250*2</f>
        <v>500</v>
      </c>
      <c r="I34" s="25">
        <f t="shared" ref="I34:I41" si="8">H34*C34</f>
        <v>67850</v>
      </c>
      <c r="J34" s="206"/>
    </row>
    <row r="35" spans="1:16" ht="74.5" customHeight="1" x14ac:dyDescent="0.3">
      <c r="A35" s="22" t="s">
        <v>56</v>
      </c>
      <c r="B35" s="202" t="s">
        <v>170</v>
      </c>
      <c r="C35" s="24">
        <f>T21</f>
        <v>309.3</v>
      </c>
      <c r="D35" s="23">
        <f>130000/12</f>
        <v>10833.333333333334</v>
      </c>
      <c r="E35" s="211"/>
      <c r="F35" s="211"/>
      <c r="G35" s="211"/>
      <c r="H35" s="207">
        <f>270.83*2</f>
        <v>541.66</v>
      </c>
      <c r="I35" s="25">
        <f t="shared" si="8"/>
        <v>167535.43799999999</v>
      </c>
      <c r="J35" s="206"/>
    </row>
    <row r="36" spans="1:16" ht="87" customHeight="1" x14ac:dyDescent="0.3">
      <c r="A36" s="22" t="s">
        <v>160</v>
      </c>
      <c r="B36" s="202" t="s">
        <v>171</v>
      </c>
      <c r="C36" s="24">
        <f>N21</f>
        <v>18.059999999999999</v>
      </c>
      <c r="D36" s="23">
        <f>190000/12</f>
        <v>15833.333333333334</v>
      </c>
      <c r="E36" s="211"/>
      <c r="F36" s="211"/>
      <c r="G36" s="211"/>
      <c r="H36" s="207">
        <f>395.83*2</f>
        <v>791.66</v>
      </c>
      <c r="I36" s="25">
        <f t="shared" si="8"/>
        <v>14297.379599999998</v>
      </c>
      <c r="J36" s="206"/>
    </row>
    <row r="37" spans="1:16" ht="48.65" customHeight="1" x14ac:dyDescent="0.3">
      <c r="A37" s="22" t="s">
        <v>57</v>
      </c>
      <c r="B37" s="202" t="s">
        <v>172</v>
      </c>
      <c r="C37" s="24">
        <f>P21</f>
        <v>257</v>
      </c>
      <c r="D37" s="23">
        <f>120000/12</f>
        <v>10000</v>
      </c>
      <c r="E37" s="211"/>
      <c r="F37" s="211"/>
      <c r="G37" s="211"/>
      <c r="H37" s="207">
        <f>250*2</f>
        <v>500</v>
      </c>
      <c r="I37" s="25">
        <f t="shared" si="8"/>
        <v>128500</v>
      </c>
      <c r="J37" s="206"/>
    </row>
    <row r="38" spans="1:16" ht="48" customHeight="1" x14ac:dyDescent="0.3">
      <c r="A38" s="22" t="s">
        <v>164</v>
      </c>
      <c r="B38" s="202" t="s">
        <v>173</v>
      </c>
      <c r="C38" s="24">
        <f>R21</f>
        <v>156.19999999999999</v>
      </c>
      <c r="D38" s="23">
        <f>120000/12</f>
        <v>10000</v>
      </c>
      <c r="E38" s="211"/>
      <c r="F38" s="211"/>
      <c r="G38" s="211"/>
      <c r="H38" s="207">
        <f>250*2</f>
        <v>500</v>
      </c>
      <c r="I38" s="25">
        <f t="shared" si="8"/>
        <v>78100</v>
      </c>
      <c r="J38" s="206"/>
    </row>
    <row r="39" spans="1:16" ht="60.65" customHeight="1" x14ac:dyDescent="0.3">
      <c r="A39" s="22" t="s">
        <v>165</v>
      </c>
      <c r="B39" s="202" t="s">
        <v>174</v>
      </c>
      <c r="C39" s="24">
        <f>X21</f>
        <v>27.02</v>
      </c>
      <c r="D39" s="23">
        <f>110000/12</f>
        <v>9166.6666666666661</v>
      </c>
      <c r="E39" s="211"/>
      <c r="F39" s="211"/>
      <c r="G39" s="211"/>
      <c r="H39" s="207">
        <f>229.16*2</f>
        <v>458.32</v>
      </c>
      <c r="I39" s="25">
        <f t="shared" si="8"/>
        <v>12383.806399999999</v>
      </c>
      <c r="J39" s="206"/>
    </row>
    <row r="40" spans="1:16" ht="49.5" customHeight="1" x14ac:dyDescent="0.3">
      <c r="A40" s="22" t="s">
        <v>58</v>
      </c>
      <c r="B40" s="202" t="s">
        <v>175</v>
      </c>
      <c r="C40" s="29">
        <f>L21</f>
        <v>73.7</v>
      </c>
      <c r="D40" s="23">
        <f>110000/12</f>
        <v>9166.6666666666661</v>
      </c>
      <c r="E40" s="211"/>
      <c r="F40" s="211"/>
      <c r="G40" s="211"/>
      <c r="H40" s="207">
        <f>229.16*2</f>
        <v>458.32</v>
      </c>
      <c r="I40" s="25">
        <f t="shared" si="8"/>
        <v>33778.184000000001</v>
      </c>
      <c r="J40" s="206"/>
    </row>
    <row r="41" spans="1:16" ht="79" customHeight="1" x14ac:dyDescent="0.3">
      <c r="A41" s="22" t="s">
        <v>128</v>
      </c>
      <c r="B41" s="202" t="s">
        <v>176</v>
      </c>
      <c r="C41" s="24">
        <f>Z21</f>
        <v>25.02</v>
      </c>
      <c r="D41" s="23">
        <f>70000/12</f>
        <v>5833.333333333333</v>
      </c>
      <c r="E41" s="211"/>
      <c r="F41" s="211"/>
      <c r="G41" s="211"/>
      <c r="H41" s="207">
        <f>145.83*2</f>
        <v>291.66000000000003</v>
      </c>
      <c r="I41" s="25">
        <f t="shared" si="8"/>
        <v>7297.3332000000009</v>
      </c>
      <c r="J41" s="206"/>
    </row>
    <row r="42" spans="1:16" ht="15.5" x14ac:dyDescent="0.3">
      <c r="A42" s="64" t="s">
        <v>60</v>
      </c>
      <c r="C42" s="11">
        <f>SUM(C34:C41)</f>
        <v>1002</v>
      </c>
      <c r="D42" s="23">
        <f>SUM(D34:D41)</f>
        <v>80833.333333333343</v>
      </c>
      <c r="H42" s="207">
        <f>SUM(H34:H41)</f>
        <v>4041.62</v>
      </c>
      <c r="I42" s="210">
        <f>SUM(I34:I41)</f>
        <v>509742.14119999995</v>
      </c>
      <c r="J42" s="208"/>
    </row>
    <row r="43" spans="1:16" ht="26" x14ac:dyDescent="0.25">
      <c r="A43" s="28" t="s">
        <v>139</v>
      </c>
    </row>
    <row r="44" spans="1:16" ht="13" thickBot="1" x14ac:dyDescent="0.3"/>
    <row r="45" spans="1:16" ht="32.15" customHeight="1" thickBot="1" x14ac:dyDescent="0.5">
      <c r="A45" s="212" t="s">
        <v>115</v>
      </c>
      <c r="B45" s="213"/>
      <c r="C45" s="213"/>
      <c r="D45" s="213"/>
      <c r="E45" s="213"/>
      <c r="F45" s="213"/>
      <c r="G45" s="213"/>
      <c r="H45" s="213"/>
      <c r="I45" s="213"/>
      <c r="J45" s="213"/>
      <c r="K45" s="213"/>
      <c r="L45" s="213"/>
      <c r="M45" s="213"/>
      <c r="N45" s="213"/>
      <c r="O45" s="213"/>
      <c r="P45" s="214"/>
    </row>
    <row r="46" spans="1:16" ht="12.5" x14ac:dyDescent="0.25"/>
    <row r="47" spans="1:16" ht="12.5" x14ac:dyDescent="0.25"/>
    <row r="48" spans="1:16" ht="12.5" x14ac:dyDescent="0.25"/>
    <row r="49" spans="3:3" ht="12.5" x14ac:dyDescent="0.25"/>
    <row r="50" spans="3:3" ht="12.5" x14ac:dyDescent="0.25"/>
    <row r="51" spans="3:3" ht="12.5" x14ac:dyDescent="0.25"/>
    <row r="52" spans="3:3" ht="12.5" x14ac:dyDescent="0.25"/>
    <row r="53" spans="3:3" ht="12.5" x14ac:dyDescent="0.25"/>
    <row r="54" spans="3:3" ht="12.5" x14ac:dyDescent="0.25"/>
    <row r="55" spans="3:3" ht="12.5" x14ac:dyDescent="0.25"/>
    <row r="56" spans="3:3" ht="12.5" x14ac:dyDescent="0.25"/>
    <row r="57" spans="3:3" ht="12.5" x14ac:dyDescent="0.25">
      <c r="C57" t="s">
        <v>554</v>
      </c>
    </row>
    <row r="58" spans="3:3" ht="12.5" x14ac:dyDescent="0.25"/>
    <row r="59" spans="3:3" ht="12.5" x14ac:dyDescent="0.25"/>
    <row r="60" spans="3:3" ht="12.5" x14ac:dyDescent="0.25"/>
    <row r="61" spans="3:3" ht="12.5" x14ac:dyDescent="0.25"/>
    <row r="62" spans="3:3" ht="12.5" x14ac:dyDescent="0.25"/>
    <row r="63" spans="3:3" ht="12.5" x14ac:dyDescent="0.25"/>
    <row r="64" spans="3:3" ht="12.5" x14ac:dyDescent="0.25"/>
    <row r="65" spans="1:12" ht="12.5" x14ac:dyDescent="0.25"/>
    <row r="66" spans="1:12" ht="12.5" x14ac:dyDescent="0.25"/>
    <row r="67" spans="1:12" ht="12.5" x14ac:dyDescent="0.25"/>
    <row r="68" spans="1:12" ht="17.5" x14ac:dyDescent="0.25">
      <c r="A68" s="215" t="s">
        <v>116</v>
      </c>
      <c r="B68" s="216"/>
      <c r="C68" s="216"/>
      <c r="D68" s="43"/>
      <c r="E68" s="43"/>
      <c r="F68" s="44"/>
    </row>
    <row r="69" spans="1:12" ht="16.5" x14ac:dyDescent="0.25">
      <c r="A69" s="50" t="s">
        <v>64</v>
      </c>
      <c r="B69" s="50" t="s">
        <v>65</v>
      </c>
      <c r="C69" s="50" t="s">
        <v>66</v>
      </c>
      <c r="D69" s="50" t="s">
        <v>67</v>
      </c>
      <c r="E69" s="50" t="s">
        <v>68</v>
      </c>
      <c r="F69" s="51" t="s">
        <v>69</v>
      </c>
      <c r="G69" s="7"/>
      <c r="H69" s="50" t="s">
        <v>68</v>
      </c>
      <c r="I69" s="50"/>
      <c r="J69" s="50"/>
      <c r="K69" s="51" t="s">
        <v>69</v>
      </c>
    </row>
    <row r="70" spans="1:12" ht="49.5" x14ac:dyDescent="0.25">
      <c r="A70" s="52" t="s">
        <v>70</v>
      </c>
      <c r="B70" s="52" t="s">
        <v>71</v>
      </c>
      <c r="C70" s="52" t="s">
        <v>72</v>
      </c>
      <c r="D70" s="52" t="s">
        <v>73</v>
      </c>
      <c r="E70" s="52" t="s">
        <v>117</v>
      </c>
      <c r="F70" s="53">
        <v>1191.6917359759334</v>
      </c>
      <c r="G70" s="7"/>
      <c r="H70" s="52" t="s">
        <v>141</v>
      </c>
      <c r="I70" s="52"/>
      <c r="J70" s="52"/>
      <c r="K70" s="53">
        <v>1191.6917359759334</v>
      </c>
    </row>
    <row r="71" spans="1:12" ht="66" x14ac:dyDescent="0.25">
      <c r="A71" s="52" t="s">
        <v>70</v>
      </c>
      <c r="B71" s="52" t="s">
        <v>75</v>
      </c>
      <c r="C71" s="52" t="s">
        <v>72</v>
      </c>
      <c r="D71" s="52" t="s">
        <v>73</v>
      </c>
      <c r="E71" s="52" t="s">
        <v>118</v>
      </c>
      <c r="F71" s="53">
        <v>1297.0385772429659</v>
      </c>
      <c r="G71" s="7"/>
      <c r="H71" s="52" t="s">
        <v>142</v>
      </c>
      <c r="I71" s="52"/>
      <c r="J71" s="52"/>
      <c r="K71" s="53">
        <v>1297.0385772429659</v>
      </c>
    </row>
    <row r="72" spans="1:12" ht="409.5" x14ac:dyDescent="0.25">
      <c r="A72" s="52" t="s">
        <v>77</v>
      </c>
      <c r="B72" s="52" t="s">
        <v>78</v>
      </c>
      <c r="C72" s="52" t="s">
        <v>72</v>
      </c>
      <c r="D72" s="52" t="s">
        <v>73</v>
      </c>
      <c r="E72" s="52" t="s">
        <v>79</v>
      </c>
      <c r="F72" s="53">
        <v>1.5576889046186517</v>
      </c>
      <c r="G72" s="7"/>
      <c r="H72" s="52" t="s">
        <v>79</v>
      </c>
      <c r="I72" s="52"/>
      <c r="J72" s="52"/>
      <c r="K72" s="53">
        <v>1.5576889046186517</v>
      </c>
    </row>
    <row r="73" spans="1:12" ht="115.5" x14ac:dyDescent="0.25">
      <c r="A73" s="52" t="s">
        <v>80</v>
      </c>
      <c r="B73" s="52" t="s">
        <v>81</v>
      </c>
      <c r="C73" s="52" t="s">
        <v>72</v>
      </c>
      <c r="D73" s="52" t="s">
        <v>73</v>
      </c>
      <c r="E73" s="52" t="s">
        <v>119</v>
      </c>
      <c r="F73" s="53">
        <v>1422.2275703415323</v>
      </c>
      <c r="G73" s="7"/>
      <c r="H73" s="52" t="s">
        <v>119</v>
      </c>
      <c r="I73" s="52"/>
      <c r="J73" s="52"/>
      <c r="K73" s="53">
        <v>1422.2275703415323</v>
      </c>
    </row>
    <row r="74" spans="1:12" ht="132" x14ac:dyDescent="0.25">
      <c r="A74" s="52" t="s">
        <v>83</v>
      </c>
      <c r="B74" s="52" t="s">
        <v>84</v>
      </c>
      <c r="C74" s="52" t="s">
        <v>72</v>
      </c>
      <c r="D74" s="52" t="s">
        <v>73</v>
      </c>
      <c r="E74" s="52" t="s">
        <v>85</v>
      </c>
      <c r="F74" s="53">
        <v>17.694213413555122</v>
      </c>
      <c r="G74" s="7"/>
      <c r="H74" s="52" t="s">
        <v>85</v>
      </c>
      <c r="I74" s="52"/>
      <c r="J74" s="52"/>
      <c r="K74" s="53">
        <v>17.694213413555122</v>
      </c>
    </row>
    <row r="75" spans="1:12" ht="409.5" x14ac:dyDescent="0.25">
      <c r="A75" s="52" t="s">
        <v>86</v>
      </c>
      <c r="B75" s="52" t="s">
        <v>63</v>
      </c>
      <c r="C75" s="52" t="s">
        <v>72</v>
      </c>
      <c r="D75" s="52" t="s">
        <v>73</v>
      </c>
      <c r="E75" s="52" t="s">
        <v>120</v>
      </c>
      <c r="F75" s="53">
        <v>26279.174323128649</v>
      </c>
      <c r="G75" s="7"/>
      <c r="H75" s="52" t="s">
        <v>120</v>
      </c>
      <c r="I75" s="52"/>
      <c r="J75" s="52"/>
      <c r="K75" s="53">
        <v>26279.174323128649</v>
      </c>
    </row>
    <row r="76" spans="1:12" ht="16.5" x14ac:dyDescent="0.25">
      <c r="A76" s="52" t="s">
        <v>88</v>
      </c>
      <c r="B76" s="52"/>
      <c r="C76" s="55"/>
      <c r="D76" s="54" t="s">
        <v>88</v>
      </c>
      <c r="E76" s="52"/>
      <c r="F76" s="53">
        <v>0</v>
      </c>
      <c r="G76" s="7"/>
      <c r="H76" s="52"/>
      <c r="I76" s="52"/>
      <c r="J76" s="52"/>
      <c r="K76" s="53">
        <v>0</v>
      </c>
    </row>
    <row r="77" spans="1:12" ht="33" x14ac:dyDescent="0.25">
      <c r="A77" s="43"/>
      <c r="B77" s="43"/>
      <c r="C77" s="43"/>
      <c r="D77" s="54" t="s">
        <v>89</v>
      </c>
      <c r="E77" s="54" t="s">
        <v>90</v>
      </c>
      <c r="F77" s="53"/>
      <c r="G77" s="7"/>
      <c r="H77" s="54" t="s">
        <v>90</v>
      </c>
      <c r="I77" s="54"/>
      <c r="J77" s="54"/>
      <c r="K77" s="53"/>
    </row>
    <row r="78" spans="1:12" ht="16.5" x14ac:dyDescent="0.25">
      <c r="A78" s="43"/>
      <c r="B78" s="43"/>
      <c r="C78" s="43"/>
      <c r="D78" s="54" t="s">
        <v>91</v>
      </c>
      <c r="E78" s="54" t="s">
        <v>72</v>
      </c>
      <c r="F78" s="53"/>
      <c r="G78" s="7"/>
      <c r="H78" s="54" t="s">
        <v>72</v>
      </c>
      <c r="I78" s="54"/>
      <c r="J78" s="54"/>
      <c r="K78" s="53"/>
    </row>
    <row r="79" spans="1:12" ht="16.5" x14ac:dyDescent="0.25">
      <c r="A79" s="43"/>
      <c r="B79" s="43"/>
      <c r="C79" s="43"/>
      <c r="D79" s="54" t="s">
        <v>92</v>
      </c>
      <c r="E79" s="54" t="s">
        <v>72</v>
      </c>
      <c r="F79" s="53"/>
      <c r="G79" s="7"/>
      <c r="H79" s="54" t="s">
        <v>72</v>
      </c>
      <c r="I79" s="54"/>
      <c r="J79" s="54"/>
      <c r="K79" s="53"/>
    </row>
    <row r="80" spans="1:12" ht="16.5" x14ac:dyDescent="0.25">
      <c r="A80" s="43"/>
      <c r="B80" s="43"/>
      <c r="C80" s="43"/>
      <c r="D80" s="54" t="s">
        <v>93</v>
      </c>
      <c r="E80" s="52"/>
      <c r="F80" s="56">
        <v>30209.384109007256</v>
      </c>
      <c r="G80" s="7"/>
      <c r="H80" s="52"/>
      <c r="I80" s="52"/>
      <c r="J80" s="52"/>
      <c r="K80" s="56">
        <v>30209.3841090073</v>
      </c>
      <c r="L80" t="s">
        <v>95</v>
      </c>
    </row>
    <row r="81" spans="1:16" ht="12.5" x14ac:dyDescent="0.25"/>
    <row r="82" spans="1:16" ht="12.5" x14ac:dyDescent="0.25"/>
    <row r="83" spans="1:16" ht="15.75" customHeight="1" thickBot="1" x14ac:dyDescent="0.3"/>
    <row r="84" spans="1:16" ht="32.15" customHeight="1" thickBot="1" x14ac:dyDescent="0.5">
      <c r="A84" s="212" t="s">
        <v>114</v>
      </c>
      <c r="B84" s="213"/>
      <c r="C84" s="213"/>
      <c r="D84" s="213"/>
      <c r="E84" s="213"/>
      <c r="F84" s="213"/>
      <c r="G84" s="213"/>
      <c r="H84" s="213"/>
      <c r="I84" s="213"/>
      <c r="J84" s="213"/>
      <c r="K84" s="213"/>
      <c r="L84" s="213"/>
      <c r="M84" s="213"/>
      <c r="N84" s="213"/>
      <c r="O84" s="213"/>
      <c r="P84" s="214"/>
    </row>
    <row r="85" spans="1:16" ht="15.75" customHeight="1" x14ac:dyDescent="0.25"/>
    <row r="86" spans="1:16" ht="15.75" customHeight="1" x14ac:dyDescent="0.25"/>
    <row r="87" spans="1:16" ht="15.75" customHeight="1" x14ac:dyDescent="0.25"/>
    <row r="88" spans="1:16" ht="15.75" customHeight="1" x14ac:dyDescent="0.25"/>
    <row r="89" spans="1:16" ht="15.75" customHeight="1" x14ac:dyDescent="0.25"/>
    <row r="90" spans="1:16" ht="15.75" customHeight="1" x14ac:dyDescent="0.25"/>
    <row r="91" spans="1:16" ht="15.75" customHeight="1" x14ac:dyDescent="0.25"/>
    <row r="92" spans="1:16" ht="15.75" customHeight="1" x14ac:dyDescent="0.25"/>
    <row r="93" spans="1:16" ht="15.75" customHeight="1" x14ac:dyDescent="0.25"/>
    <row r="94" spans="1:16" ht="15.75" customHeight="1" x14ac:dyDescent="0.25"/>
    <row r="95" spans="1:16" ht="15.75" customHeight="1" x14ac:dyDescent="0.25"/>
    <row r="96" spans="1:16" ht="15.75" customHeight="1" x14ac:dyDescent="0.25"/>
    <row r="97" spans="1:11" ht="15.75" customHeight="1" x14ac:dyDescent="0.25"/>
    <row r="98" spans="1:11" ht="15.75" customHeight="1" x14ac:dyDescent="0.25"/>
    <row r="99" spans="1:11" ht="15.75" customHeight="1" x14ac:dyDescent="0.25"/>
    <row r="100" spans="1:11" ht="15.75" customHeight="1" x14ac:dyDescent="0.25"/>
    <row r="101" spans="1:11" ht="15.75" customHeight="1" x14ac:dyDescent="0.25"/>
    <row r="102" spans="1:11" ht="15.75" customHeight="1" x14ac:dyDescent="0.25"/>
    <row r="103" spans="1:11" ht="15.75" customHeight="1" x14ac:dyDescent="0.25">
      <c r="A103" s="30"/>
    </row>
    <row r="104" spans="1:11" ht="15.75" customHeight="1" x14ac:dyDescent="0.25">
      <c r="A104" s="57" t="s">
        <v>64</v>
      </c>
      <c r="B104" s="57" t="s">
        <v>65</v>
      </c>
      <c r="C104" s="57" t="s">
        <v>66</v>
      </c>
      <c r="D104" s="57" t="s">
        <v>67</v>
      </c>
      <c r="E104" s="57" t="s">
        <v>68</v>
      </c>
      <c r="F104" s="58" t="s">
        <v>69</v>
      </c>
      <c r="G104" s="7"/>
      <c r="H104" s="57" t="s">
        <v>68</v>
      </c>
      <c r="I104" s="57"/>
      <c r="J104" s="57"/>
      <c r="K104" s="58" t="s">
        <v>69</v>
      </c>
    </row>
    <row r="105" spans="1:11" ht="33" x14ac:dyDescent="0.25">
      <c r="A105" s="59" t="s">
        <v>70</v>
      </c>
      <c r="B105" s="59" t="s">
        <v>71</v>
      </c>
      <c r="C105" s="59" t="s">
        <v>72</v>
      </c>
      <c r="D105" s="59" t="s">
        <v>73</v>
      </c>
      <c r="E105" s="59" t="s">
        <v>74</v>
      </c>
      <c r="F105" s="60">
        <v>805.81613873650667</v>
      </c>
      <c r="G105" s="7"/>
      <c r="H105" s="59" t="s">
        <v>74</v>
      </c>
      <c r="I105" s="59"/>
      <c r="J105" s="59"/>
      <c r="K105" s="60">
        <v>805.81613873650667</v>
      </c>
    </row>
    <row r="106" spans="1:11" ht="66" x14ac:dyDescent="0.25">
      <c r="A106" s="59" t="s">
        <v>70</v>
      </c>
      <c r="B106" s="59" t="s">
        <v>75</v>
      </c>
      <c r="C106" s="59" t="s">
        <v>72</v>
      </c>
      <c r="D106" s="59" t="s">
        <v>73</v>
      </c>
      <c r="E106" s="7"/>
      <c r="F106" s="7"/>
      <c r="G106" s="7"/>
      <c r="H106" s="59" t="s">
        <v>76</v>
      </c>
      <c r="I106" s="59"/>
      <c r="J106" s="59"/>
      <c r="K106" s="60">
        <v>10407.441160856486</v>
      </c>
    </row>
    <row r="107" spans="1:11" ht="409.5" x14ac:dyDescent="0.25">
      <c r="A107" s="59" t="s">
        <v>77</v>
      </c>
      <c r="B107" s="59" t="s">
        <v>78</v>
      </c>
      <c r="C107" s="59" t="s">
        <v>72</v>
      </c>
      <c r="D107" s="59" t="s">
        <v>73</v>
      </c>
      <c r="E107" s="7"/>
      <c r="F107" s="7"/>
      <c r="G107" s="7"/>
      <c r="H107" s="59" t="s">
        <v>79</v>
      </c>
      <c r="I107" s="59"/>
      <c r="J107" s="59"/>
      <c r="K107" s="60">
        <v>1.5576889046186517</v>
      </c>
    </row>
    <row r="108" spans="1:11" ht="99" x14ac:dyDescent="0.25">
      <c r="A108" s="59" t="s">
        <v>80</v>
      </c>
      <c r="B108" s="59" t="s">
        <v>81</v>
      </c>
      <c r="C108" s="59" t="s">
        <v>72</v>
      </c>
      <c r="D108" s="59" t="s">
        <v>73</v>
      </c>
      <c r="E108" s="7"/>
      <c r="F108" s="7"/>
      <c r="G108" s="7"/>
      <c r="H108" s="59" t="s">
        <v>82</v>
      </c>
      <c r="I108" s="59"/>
      <c r="J108" s="59"/>
      <c r="K108" s="60">
        <v>1302.1617412847284</v>
      </c>
    </row>
    <row r="109" spans="1:11" ht="132" x14ac:dyDescent="0.25">
      <c r="A109" s="59" t="s">
        <v>83</v>
      </c>
      <c r="B109" s="59" t="s">
        <v>84</v>
      </c>
      <c r="C109" s="59" t="s">
        <v>72</v>
      </c>
      <c r="D109" s="59" t="s">
        <v>73</v>
      </c>
      <c r="E109" s="7"/>
      <c r="F109" s="7"/>
      <c r="G109" s="7"/>
      <c r="H109" s="59" t="s">
        <v>85</v>
      </c>
      <c r="I109" s="59"/>
      <c r="J109" s="59"/>
      <c r="K109" s="60">
        <v>17.694213413555122</v>
      </c>
    </row>
    <row r="110" spans="1:11" ht="409.5" x14ac:dyDescent="0.25">
      <c r="A110" s="59" t="s">
        <v>86</v>
      </c>
      <c r="B110" s="59" t="s">
        <v>63</v>
      </c>
      <c r="C110" s="59" t="s">
        <v>72</v>
      </c>
      <c r="D110" s="59" t="s">
        <v>73</v>
      </c>
      <c r="E110" s="7"/>
      <c r="F110" s="7"/>
      <c r="G110" s="7"/>
      <c r="H110" s="59" t="s">
        <v>87</v>
      </c>
      <c r="I110" s="59"/>
      <c r="J110" s="59"/>
      <c r="K110" s="60">
        <v>36972.134271341354</v>
      </c>
    </row>
    <row r="111" spans="1:11" ht="15.75" customHeight="1" x14ac:dyDescent="0.25">
      <c r="A111" s="31"/>
      <c r="B111" s="31"/>
      <c r="C111" s="31"/>
      <c r="D111" s="61" t="s">
        <v>94</v>
      </c>
      <c r="E111" s="7"/>
      <c r="F111" s="7"/>
      <c r="G111" s="7"/>
      <c r="H111" s="59"/>
      <c r="I111" s="59"/>
      <c r="J111" s="59"/>
      <c r="K111" s="60">
        <v>0</v>
      </c>
    </row>
    <row r="112" spans="1:11" ht="15.75" customHeight="1" x14ac:dyDescent="0.25">
      <c r="A112" s="31"/>
      <c r="B112" s="31"/>
      <c r="C112" s="31"/>
      <c r="D112" s="61" t="s">
        <v>89</v>
      </c>
      <c r="E112" s="7"/>
      <c r="F112" s="7"/>
      <c r="G112" s="7"/>
      <c r="H112" s="61" t="s">
        <v>90</v>
      </c>
      <c r="I112" s="61"/>
      <c r="J112" s="61"/>
      <c r="K112" s="60"/>
    </row>
    <row r="113" spans="1:12" ht="15.75" customHeight="1" x14ac:dyDescent="0.25">
      <c r="A113" s="31"/>
      <c r="B113" s="31"/>
      <c r="C113" s="31"/>
      <c r="D113" s="61" t="s">
        <v>91</v>
      </c>
      <c r="E113" s="7"/>
      <c r="F113" s="7"/>
      <c r="G113" s="7"/>
      <c r="H113" s="61" t="s">
        <v>72</v>
      </c>
      <c r="I113" s="61"/>
      <c r="J113" s="61"/>
      <c r="K113" s="60"/>
    </row>
    <row r="114" spans="1:12" ht="15.75" customHeight="1" x14ac:dyDescent="0.25">
      <c r="A114" s="31"/>
      <c r="B114" s="31"/>
      <c r="C114" s="31"/>
      <c r="D114" s="61" t="s">
        <v>92</v>
      </c>
      <c r="E114" s="7"/>
      <c r="F114" s="7"/>
      <c r="G114" s="7"/>
      <c r="H114" s="61" t="s">
        <v>72</v>
      </c>
      <c r="I114" s="61"/>
      <c r="J114" s="61"/>
      <c r="K114" s="60"/>
    </row>
    <row r="115" spans="1:12" ht="15.75" customHeight="1" x14ac:dyDescent="0.25">
      <c r="A115" s="31"/>
      <c r="B115" s="31"/>
      <c r="C115" s="31"/>
      <c r="D115" s="61" t="s">
        <v>93</v>
      </c>
      <c r="E115" s="7"/>
      <c r="F115" s="7"/>
      <c r="G115" s="7"/>
      <c r="H115" s="59"/>
      <c r="I115" s="59"/>
      <c r="J115" s="59"/>
      <c r="K115" s="62">
        <v>49506.805214537257</v>
      </c>
      <c r="L115" t="s">
        <v>95</v>
      </c>
    </row>
    <row r="116" spans="1:12" ht="15.75" customHeight="1" x14ac:dyDescent="0.25"/>
    <row r="117" spans="1:12" ht="15.75" customHeight="1" x14ac:dyDescent="0.25"/>
    <row r="118" spans="1:12" ht="15.75" customHeight="1" x14ac:dyDescent="0.25"/>
    <row r="119" spans="1:12" ht="15.75" customHeight="1" x14ac:dyDescent="0.25"/>
    <row r="120" spans="1:12" ht="15.75" customHeight="1" x14ac:dyDescent="0.25"/>
    <row r="121" spans="1:12" ht="15.75" customHeight="1" x14ac:dyDescent="0.25"/>
    <row r="122" spans="1:12" ht="15.75" customHeight="1" x14ac:dyDescent="0.25"/>
    <row r="123" spans="1:12" ht="15.75" customHeight="1" x14ac:dyDescent="0.25"/>
    <row r="124" spans="1:12" ht="15.75" customHeight="1" x14ac:dyDescent="0.25"/>
    <row r="125" spans="1:12" ht="15.75" customHeight="1" x14ac:dyDescent="0.25"/>
    <row r="126" spans="1:12" ht="15.75" customHeight="1" x14ac:dyDescent="0.25"/>
    <row r="127" spans="1:12" ht="15.75" customHeight="1" x14ac:dyDescent="0.25"/>
    <row r="128" spans="1:12"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row r="1021" ht="15.75" customHeight="1" x14ac:dyDescent="0.25"/>
    <row r="1022" ht="15.75" customHeight="1" x14ac:dyDescent="0.25"/>
    <row r="1023" ht="15.75" customHeight="1" x14ac:dyDescent="0.25"/>
    <row r="1024" ht="15.75" customHeight="1" x14ac:dyDescent="0.25"/>
    <row r="1025" ht="15.75" customHeight="1" x14ac:dyDescent="0.25"/>
    <row r="1026" ht="15.75" customHeight="1" x14ac:dyDescent="0.25"/>
    <row r="1027" ht="15.75" customHeight="1" x14ac:dyDescent="0.25"/>
    <row r="1028" ht="15.75" customHeight="1" x14ac:dyDescent="0.25"/>
    <row r="1029" ht="15.75" customHeight="1" x14ac:dyDescent="0.25"/>
    <row r="1030" ht="15.75" customHeight="1" x14ac:dyDescent="0.25"/>
    <row r="1031" ht="15.75" customHeight="1" x14ac:dyDescent="0.25"/>
    <row r="1032" ht="15.75" customHeight="1" x14ac:dyDescent="0.25"/>
    <row r="1033" ht="15.75" customHeight="1" x14ac:dyDescent="0.25"/>
    <row r="1034" ht="15.75" customHeight="1" x14ac:dyDescent="0.25"/>
    <row r="1035" ht="15.75" customHeight="1" x14ac:dyDescent="0.25"/>
    <row r="1036" ht="15.75" customHeight="1" x14ac:dyDescent="0.25"/>
    <row r="1037" ht="15.75" customHeight="1" x14ac:dyDescent="0.25"/>
    <row r="1038" ht="15.75" customHeight="1" x14ac:dyDescent="0.25"/>
  </sheetData>
  <mergeCells count="5">
    <mergeCell ref="A84:P84"/>
    <mergeCell ref="A68:C68"/>
    <mergeCell ref="A30:P30"/>
    <mergeCell ref="A45:P45"/>
    <mergeCell ref="A32:H32"/>
  </mergeCells>
  <pageMargins left="0.7" right="0.7" top="0.75" bottom="0.75" header="0.3" footer="0.3"/>
  <ignoredErrors>
    <ignoredError sqref="B27" twoDigitTextYear="1"/>
  </ignoredError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C49BB-94C1-44E3-9B1A-7214B5C4E4A8}">
  <sheetPr codeName="Feuil2"/>
  <dimension ref="A1:N196"/>
  <sheetViews>
    <sheetView tabSelected="1" zoomScale="68" zoomScaleNormal="100" workbookViewId="0">
      <selection activeCell="G200" sqref="G200"/>
    </sheetView>
  </sheetViews>
  <sheetFormatPr baseColWidth="10" defaultRowHeight="12.5" x14ac:dyDescent="0.25"/>
  <cols>
    <col min="1" max="1" width="34.54296875" bestFit="1" customWidth="1"/>
    <col min="2" max="2" width="19.453125" customWidth="1"/>
    <col min="3" max="3" width="17.54296875" customWidth="1"/>
    <col min="4" max="4" width="23.81640625" customWidth="1"/>
    <col min="5" max="5" width="20.54296875" customWidth="1"/>
    <col min="6" max="6" width="27" customWidth="1"/>
    <col min="7" max="7" width="22.453125" customWidth="1"/>
    <col min="8" max="8" width="17.453125" customWidth="1"/>
    <col min="10" max="10" width="16.7265625" customWidth="1"/>
  </cols>
  <sheetData>
    <row r="1" spans="1:14" ht="23" thickBot="1" x14ac:dyDescent="0.5">
      <c r="A1" s="219" t="s">
        <v>111</v>
      </c>
      <c r="B1" s="220"/>
      <c r="C1" s="220"/>
      <c r="D1" s="220"/>
      <c r="E1" s="220"/>
      <c r="F1" s="220"/>
      <c r="G1" s="220"/>
      <c r="H1" s="220"/>
      <c r="I1" s="220"/>
      <c r="J1" s="220"/>
      <c r="K1" s="220"/>
      <c r="L1" s="220"/>
      <c r="M1" s="220"/>
      <c r="N1" s="220"/>
    </row>
    <row r="3" spans="1:14" ht="13" x14ac:dyDescent="0.25">
      <c r="A3" s="21" t="s">
        <v>110</v>
      </c>
      <c r="B3" s="21" t="s">
        <v>96</v>
      </c>
    </row>
    <row r="4" spans="1:14" ht="13" x14ac:dyDescent="0.25">
      <c r="A4" s="24" t="s">
        <v>98</v>
      </c>
      <c r="B4" s="33">
        <v>120000</v>
      </c>
    </row>
    <row r="5" spans="1:14" ht="13" x14ac:dyDescent="0.25">
      <c r="A5" s="24" t="s">
        <v>97</v>
      </c>
      <c r="B5" s="32">
        <v>0.1</v>
      </c>
    </row>
    <row r="6" spans="1:14" ht="13" x14ac:dyDescent="0.25">
      <c r="A6" s="24" t="s">
        <v>99</v>
      </c>
      <c r="B6" s="33">
        <f>B4*(10/100)</f>
        <v>12000</v>
      </c>
    </row>
    <row r="7" spans="1:14" ht="13" x14ac:dyDescent="0.25">
      <c r="A7" s="24" t="s">
        <v>100</v>
      </c>
      <c r="B7" s="25">
        <v>60</v>
      </c>
    </row>
    <row r="8" spans="1:14" ht="13" x14ac:dyDescent="0.25">
      <c r="A8" s="24" t="s">
        <v>101</v>
      </c>
      <c r="B8" s="25">
        <f>B7*(5/100)</f>
        <v>3</v>
      </c>
    </row>
    <row r="9" spans="1:14" ht="13" x14ac:dyDescent="0.3">
      <c r="A9" s="24" t="s">
        <v>104</v>
      </c>
      <c r="B9" s="40">
        <v>0.1</v>
      </c>
      <c r="C9" s="42" t="s">
        <v>105</v>
      </c>
    </row>
    <row r="11" spans="1:14" ht="41.5" customHeight="1" x14ac:dyDescent="0.25">
      <c r="A11" s="38" t="s">
        <v>102</v>
      </c>
      <c r="B11" s="38" t="s">
        <v>103</v>
      </c>
      <c r="C11" s="38" t="s">
        <v>107</v>
      </c>
      <c r="D11" s="38" t="s">
        <v>108</v>
      </c>
      <c r="E11" s="38" t="s">
        <v>106</v>
      </c>
      <c r="F11" s="39" t="s">
        <v>112</v>
      </c>
    </row>
    <row r="12" spans="1:14" ht="13" x14ac:dyDescent="0.25">
      <c r="A12" s="41">
        <v>47849</v>
      </c>
      <c r="B12" s="34">
        <v>120000</v>
      </c>
      <c r="C12" s="34">
        <f>ROUNDUP(B12*$B$5,0)</f>
        <v>12000</v>
      </c>
      <c r="D12" s="35">
        <f>(C12*$B$8)</f>
        <v>36000</v>
      </c>
      <c r="E12" s="35">
        <f>(((B12/1000)*$B$9)*10)*12</f>
        <v>1440</v>
      </c>
      <c r="F12" s="37">
        <f>D12+E12</f>
        <v>37440</v>
      </c>
    </row>
    <row r="13" spans="1:14" ht="13" x14ac:dyDescent="0.25">
      <c r="A13" s="41">
        <v>47880</v>
      </c>
      <c r="B13" s="36">
        <f>B12*1.1</f>
        <v>132000</v>
      </c>
      <c r="C13" s="34">
        <f>ROUNDUP(B13*$B$5,0)</f>
        <v>13200</v>
      </c>
      <c r="D13" s="35">
        <f t="shared" ref="D13:D71" si="0">(C13*$B$8)</f>
        <v>39600</v>
      </c>
      <c r="E13" s="35">
        <f t="shared" ref="E13:E22" si="1">(((B13/1000)*$B$9)*10)*12</f>
        <v>1584</v>
      </c>
      <c r="F13" s="37">
        <f t="shared" ref="F13:F22" si="2">D13+E13</f>
        <v>41184</v>
      </c>
    </row>
    <row r="14" spans="1:14" ht="13" x14ac:dyDescent="0.25">
      <c r="A14" s="41">
        <v>47908</v>
      </c>
      <c r="B14" s="36">
        <f t="shared" ref="B14:B22" si="3">B13*1.1</f>
        <v>145200</v>
      </c>
      <c r="C14" s="34">
        <f t="shared" ref="C14:C71" si="4">ROUNDUP(B14*$B$5,0)</f>
        <v>14520</v>
      </c>
      <c r="D14" s="35">
        <f t="shared" si="0"/>
        <v>43560</v>
      </c>
      <c r="E14" s="35">
        <f t="shared" si="1"/>
        <v>1742.3999999999999</v>
      </c>
      <c r="F14" s="37">
        <f t="shared" si="2"/>
        <v>45302.400000000001</v>
      </c>
    </row>
    <row r="15" spans="1:14" ht="13" x14ac:dyDescent="0.25">
      <c r="A15" s="41">
        <v>47939</v>
      </c>
      <c r="B15" s="36">
        <f t="shared" si="3"/>
        <v>159720</v>
      </c>
      <c r="C15" s="34">
        <f>ROUNDUP(B15*$B$5,0)</f>
        <v>15972</v>
      </c>
      <c r="D15" s="35">
        <f t="shared" si="0"/>
        <v>47916</v>
      </c>
      <c r="E15" s="35">
        <f t="shared" si="1"/>
        <v>1916.6400000000003</v>
      </c>
      <c r="F15" s="37">
        <f t="shared" si="2"/>
        <v>49832.639999999999</v>
      </c>
    </row>
    <row r="16" spans="1:14" ht="13" x14ac:dyDescent="0.25">
      <c r="A16" s="41">
        <v>47969</v>
      </c>
      <c r="B16" s="36">
        <f t="shared" si="3"/>
        <v>175692</v>
      </c>
      <c r="C16" s="34">
        <f t="shared" si="4"/>
        <v>17570</v>
      </c>
      <c r="D16" s="35">
        <f t="shared" si="0"/>
        <v>52710</v>
      </c>
      <c r="E16" s="35">
        <f t="shared" si="1"/>
        <v>2108.3040000000001</v>
      </c>
      <c r="F16" s="37">
        <f t="shared" si="2"/>
        <v>54818.304000000004</v>
      </c>
    </row>
    <row r="17" spans="1:6" ht="13" x14ac:dyDescent="0.25">
      <c r="A17" s="41">
        <v>48000</v>
      </c>
      <c r="B17" s="36">
        <f t="shared" si="3"/>
        <v>193261.2</v>
      </c>
      <c r="C17" s="34">
        <f t="shared" si="4"/>
        <v>19327</v>
      </c>
      <c r="D17" s="35">
        <f t="shared" si="0"/>
        <v>57981</v>
      </c>
      <c r="E17" s="35">
        <f t="shared" si="1"/>
        <v>2319.1344000000004</v>
      </c>
      <c r="F17" s="37">
        <f t="shared" si="2"/>
        <v>60300.134400000003</v>
      </c>
    </row>
    <row r="18" spans="1:6" ht="13" x14ac:dyDescent="0.25">
      <c r="A18" s="41">
        <v>48030</v>
      </c>
      <c r="B18" s="36">
        <f t="shared" si="3"/>
        <v>212587.32000000004</v>
      </c>
      <c r="C18" s="34">
        <f t="shared" si="4"/>
        <v>21259</v>
      </c>
      <c r="D18" s="35">
        <f t="shared" si="0"/>
        <v>63777</v>
      </c>
      <c r="E18" s="35">
        <f t="shared" si="1"/>
        <v>2551.0478400000006</v>
      </c>
      <c r="F18" s="37">
        <f t="shared" si="2"/>
        <v>66328.047839999999</v>
      </c>
    </row>
    <row r="19" spans="1:6" ht="13" x14ac:dyDescent="0.25">
      <c r="A19" s="41">
        <v>48061</v>
      </c>
      <c r="B19" s="36">
        <f t="shared" si="3"/>
        <v>233846.05200000005</v>
      </c>
      <c r="C19" s="34">
        <f t="shared" si="4"/>
        <v>23385</v>
      </c>
      <c r="D19" s="35">
        <f t="shared" si="0"/>
        <v>70155</v>
      </c>
      <c r="E19" s="35">
        <f t="shared" si="1"/>
        <v>2806.1526240000007</v>
      </c>
      <c r="F19" s="37">
        <f t="shared" si="2"/>
        <v>72961.152623999995</v>
      </c>
    </row>
    <row r="20" spans="1:6" ht="13" x14ac:dyDescent="0.25">
      <c r="A20" s="41">
        <v>48092</v>
      </c>
      <c r="B20" s="36">
        <f t="shared" si="3"/>
        <v>257230.65720000007</v>
      </c>
      <c r="C20" s="34">
        <f t="shared" si="4"/>
        <v>25724</v>
      </c>
      <c r="D20" s="35">
        <f t="shared" si="0"/>
        <v>77172</v>
      </c>
      <c r="E20" s="35">
        <f t="shared" si="1"/>
        <v>3086.7678864000013</v>
      </c>
      <c r="F20" s="37">
        <f t="shared" si="2"/>
        <v>80258.767886400004</v>
      </c>
    </row>
    <row r="21" spans="1:6" ht="13" x14ac:dyDescent="0.25">
      <c r="A21" s="41">
        <v>48122</v>
      </c>
      <c r="B21" s="36">
        <f t="shared" si="3"/>
        <v>282953.72292000009</v>
      </c>
      <c r="C21" s="34">
        <f t="shared" si="4"/>
        <v>28296</v>
      </c>
      <c r="D21" s="35">
        <f t="shared" si="0"/>
        <v>84888</v>
      </c>
      <c r="E21" s="35">
        <f t="shared" si="1"/>
        <v>3395.4446750400016</v>
      </c>
      <c r="F21" s="37">
        <f t="shared" si="2"/>
        <v>88283.444675039995</v>
      </c>
    </row>
    <row r="22" spans="1:6" ht="13" x14ac:dyDescent="0.25">
      <c r="A22" s="41">
        <v>48153</v>
      </c>
      <c r="B22" s="36">
        <f t="shared" si="3"/>
        <v>311249.09521200013</v>
      </c>
      <c r="C22" s="34">
        <f t="shared" si="4"/>
        <v>31125</v>
      </c>
      <c r="D22" s="35">
        <f t="shared" si="0"/>
        <v>93375</v>
      </c>
      <c r="E22" s="35">
        <f t="shared" si="1"/>
        <v>3734.9891425440019</v>
      </c>
      <c r="F22" s="37">
        <f t="shared" si="2"/>
        <v>97109.989142544</v>
      </c>
    </row>
    <row r="23" spans="1:6" ht="13" x14ac:dyDescent="0.25">
      <c r="A23" s="41">
        <v>48183</v>
      </c>
      <c r="B23" s="36">
        <f t="shared" ref="B23" si="5">B22*1.1</f>
        <v>342374.00473320019</v>
      </c>
      <c r="C23" s="34">
        <f t="shared" si="4"/>
        <v>34238</v>
      </c>
      <c r="D23" s="35">
        <f t="shared" si="0"/>
        <v>102714</v>
      </c>
      <c r="E23" s="35">
        <f t="shared" ref="E23" si="6">(((B23/1000)*$B$9)*10)*12</f>
        <v>4108.4880567984019</v>
      </c>
      <c r="F23" s="37">
        <f t="shared" ref="F23" si="7">D23+E23</f>
        <v>106822.48805679841</v>
      </c>
    </row>
    <row r="24" spans="1:6" ht="13" x14ac:dyDescent="0.25">
      <c r="A24" s="41">
        <v>48214</v>
      </c>
      <c r="B24" s="36">
        <f t="shared" ref="B24:B71" si="8">B23*1.1</f>
        <v>376611.40520652023</v>
      </c>
      <c r="C24" s="34">
        <f t="shared" si="4"/>
        <v>37662</v>
      </c>
      <c r="D24" s="35">
        <f t="shared" si="0"/>
        <v>112986</v>
      </c>
      <c r="E24" s="35">
        <f t="shared" ref="E24:E71" si="9">(((B24/1000)*$B$9)*10)*12</f>
        <v>4519.3368624782424</v>
      </c>
      <c r="F24" s="37">
        <f t="shared" ref="F24:F71" si="10">D24+E24</f>
        <v>117505.33686247825</v>
      </c>
    </row>
    <row r="25" spans="1:6" ht="13" x14ac:dyDescent="0.25">
      <c r="A25" s="41">
        <v>48245</v>
      </c>
      <c r="B25" s="36">
        <f t="shared" si="8"/>
        <v>414272.54572717228</v>
      </c>
      <c r="C25" s="34">
        <f t="shared" si="4"/>
        <v>41428</v>
      </c>
      <c r="D25" s="35">
        <f t="shared" si="0"/>
        <v>124284</v>
      </c>
      <c r="E25" s="35">
        <f t="shared" si="9"/>
        <v>4971.2705487260682</v>
      </c>
      <c r="F25" s="37">
        <f t="shared" si="10"/>
        <v>129255.27054872607</v>
      </c>
    </row>
    <row r="26" spans="1:6" ht="13" x14ac:dyDescent="0.25">
      <c r="A26" s="41">
        <v>48274</v>
      </c>
      <c r="B26" s="36">
        <f t="shared" si="8"/>
        <v>455699.80029988952</v>
      </c>
      <c r="C26" s="34">
        <f t="shared" si="4"/>
        <v>45570</v>
      </c>
      <c r="D26" s="35">
        <f t="shared" si="0"/>
        <v>136710</v>
      </c>
      <c r="E26" s="35">
        <f t="shared" si="9"/>
        <v>5468.3976035986743</v>
      </c>
      <c r="F26" s="37">
        <f t="shared" si="10"/>
        <v>142178.39760359869</v>
      </c>
    </row>
    <row r="27" spans="1:6" ht="13" x14ac:dyDescent="0.25">
      <c r="A27" s="41">
        <v>48305</v>
      </c>
      <c r="B27" s="36">
        <f t="shared" si="8"/>
        <v>501269.7803298785</v>
      </c>
      <c r="C27" s="34">
        <f t="shared" si="4"/>
        <v>50127</v>
      </c>
      <c r="D27" s="35">
        <f t="shared" si="0"/>
        <v>150381</v>
      </c>
      <c r="E27" s="35">
        <f t="shared" si="9"/>
        <v>6015.2373639585421</v>
      </c>
      <c r="F27" s="37">
        <f t="shared" si="10"/>
        <v>156396.23736395856</v>
      </c>
    </row>
    <row r="28" spans="1:6" ht="13" x14ac:dyDescent="0.25">
      <c r="A28" s="41">
        <v>48335</v>
      </c>
      <c r="B28" s="36">
        <f t="shared" si="8"/>
        <v>551396.75836286636</v>
      </c>
      <c r="C28" s="34">
        <f t="shared" si="4"/>
        <v>55140</v>
      </c>
      <c r="D28" s="35">
        <f t="shared" si="0"/>
        <v>165420</v>
      </c>
      <c r="E28" s="35">
        <f t="shared" si="9"/>
        <v>6616.7611003543952</v>
      </c>
      <c r="F28" s="37">
        <f t="shared" si="10"/>
        <v>172036.7611003544</v>
      </c>
    </row>
    <row r="29" spans="1:6" ht="13" x14ac:dyDescent="0.25">
      <c r="A29" s="41">
        <v>48366</v>
      </c>
      <c r="B29" s="36">
        <f t="shared" si="8"/>
        <v>606536.4341991531</v>
      </c>
      <c r="C29" s="34">
        <f t="shared" si="4"/>
        <v>60654</v>
      </c>
      <c r="D29" s="35">
        <f t="shared" si="0"/>
        <v>181962</v>
      </c>
      <c r="E29" s="35">
        <f t="shared" si="9"/>
        <v>7278.4372103898368</v>
      </c>
      <c r="F29" s="37">
        <f t="shared" si="10"/>
        <v>189240.43721038985</v>
      </c>
    </row>
    <row r="30" spans="1:6" ht="13" x14ac:dyDescent="0.25">
      <c r="A30" s="41">
        <v>48396</v>
      </c>
      <c r="B30" s="36">
        <f t="shared" si="8"/>
        <v>667190.07761906844</v>
      </c>
      <c r="C30" s="34">
        <f t="shared" si="4"/>
        <v>66720</v>
      </c>
      <c r="D30" s="35">
        <f t="shared" si="0"/>
        <v>200160</v>
      </c>
      <c r="E30" s="35">
        <f t="shared" si="9"/>
        <v>8006.2809314288215</v>
      </c>
      <c r="F30" s="37">
        <f t="shared" si="10"/>
        <v>208166.28093142883</v>
      </c>
    </row>
    <row r="31" spans="1:6" ht="13" x14ac:dyDescent="0.25">
      <c r="A31" s="41">
        <v>48427</v>
      </c>
      <c r="B31" s="36">
        <f t="shared" si="8"/>
        <v>733909.08538097539</v>
      </c>
      <c r="C31" s="34">
        <f t="shared" si="4"/>
        <v>73391</v>
      </c>
      <c r="D31" s="35">
        <f t="shared" si="0"/>
        <v>220173</v>
      </c>
      <c r="E31" s="35">
        <f t="shared" si="9"/>
        <v>8806.9090245717052</v>
      </c>
      <c r="F31" s="37">
        <f t="shared" si="10"/>
        <v>228979.90902457171</v>
      </c>
    </row>
    <row r="32" spans="1:6" ht="13" x14ac:dyDescent="0.25">
      <c r="A32" s="41">
        <v>48458</v>
      </c>
      <c r="B32" s="36">
        <f t="shared" si="8"/>
        <v>807299.99391907302</v>
      </c>
      <c r="C32" s="34">
        <f t="shared" si="4"/>
        <v>80730</v>
      </c>
      <c r="D32" s="35">
        <f t="shared" si="0"/>
        <v>242190</v>
      </c>
      <c r="E32" s="35">
        <f t="shared" si="9"/>
        <v>9687.5999270288776</v>
      </c>
      <c r="F32" s="37">
        <f t="shared" si="10"/>
        <v>251877.59992702887</v>
      </c>
    </row>
    <row r="33" spans="1:6" ht="13" x14ac:dyDescent="0.25">
      <c r="A33" s="41">
        <v>48488</v>
      </c>
      <c r="B33" s="36">
        <f t="shared" si="8"/>
        <v>888029.99331098038</v>
      </c>
      <c r="C33" s="34">
        <f t="shared" si="4"/>
        <v>88803</v>
      </c>
      <c r="D33" s="35">
        <f t="shared" si="0"/>
        <v>266409</v>
      </c>
      <c r="E33" s="35">
        <f t="shared" si="9"/>
        <v>10656.359919731764</v>
      </c>
      <c r="F33" s="37">
        <f t="shared" si="10"/>
        <v>277065.35991973174</v>
      </c>
    </row>
    <row r="34" spans="1:6" ht="13" x14ac:dyDescent="0.25">
      <c r="A34" s="41">
        <v>48519</v>
      </c>
      <c r="B34" s="36">
        <f t="shared" si="8"/>
        <v>976832.99264207855</v>
      </c>
      <c r="C34" s="34">
        <f t="shared" si="4"/>
        <v>97684</v>
      </c>
      <c r="D34" s="35">
        <f t="shared" si="0"/>
        <v>293052</v>
      </c>
      <c r="E34" s="35">
        <f t="shared" si="9"/>
        <v>11721.995911704944</v>
      </c>
      <c r="F34" s="37">
        <f t="shared" si="10"/>
        <v>304773.99591170496</v>
      </c>
    </row>
    <row r="35" spans="1:6" ht="13" x14ac:dyDescent="0.25">
      <c r="A35" s="41">
        <v>48549</v>
      </c>
      <c r="B35" s="36">
        <f t="shared" si="8"/>
        <v>1074516.2919062865</v>
      </c>
      <c r="C35" s="34">
        <f t="shared" si="4"/>
        <v>107452</v>
      </c>
      <c r="D35" s="35">
        <f t="shared" si="0"/>
        <v>322356</v>
      </c>
      <c r="E35" s="35">
        <f t="shared" si="9"/>
        <v>12894.195502875438</v>
      </c>
      <c r="F35" s="37">
        <f t="shared" si="10"/>
        <v>335250.19550287543</v>
      </c>
    </row>
    <row r="36" spans="1:6" ht="13" x14ac:dyDescent="0.25">
      <c r="A36" s="41">
        <v>48580</v>
      </c>
      <c r="B36" s="36">
        <f t="shared" si="8"/>
        <v>1181967.9210969151</v>
      </c>
      <c r="C36" s="34">
        <f t="shared" si="4"/>
        <v>118197</v>
      </c>
      <c r="D36" s="35">
        <f t="shared" si="0"/>
        <v>354591</v>
      </c>
      <c r="E36" s="35">
        <f t="shared" si="9"/>
        <v>14183.615053162983</v>
      </c>
      <c r="F36" s="37">
        <f t="shared" si="10"/>
        <v>368774.61505316297</v>
      </c>
    </row>
    <row r="37" spans="1:6" ht="13" x14ac:dyDescent="0.25">
      <c r="A37" s="41">
        <v>48611</v>
      </c>
      <c r="B37" s="36">
        <f t="shared" si="8"/>
        <v>1300164.7132066067</v>
      </c>
      <c r="C37" s="34">
        <f t="shared" si="4"/>
        <v>130017</v>
      </c>
      <c r="D37" s="35">
        <f t="shared" si="0"/>
        <v>390051</v>
      </c>
      <c r="E37" s="35">
        <f t="shared" si="9"/>
        <v>15601.97655847928</v>
      </c>
      <c r="F37" s="37">
        <f t="shared" si="10"/>
        <v>405652.97655847931</v>
      </c>
    </row>
    <row r="38" spans="1:6" ht="13" x14ac:dyDescent="0.25">
      <c r="A38" s="41">
        <v>48639</v>
      </c>
      <c r="B38" s="36">
        <f t="shared" si="8"/>
        <v>1430181.1845272675</v>
      </c>
      <c r="C38" s="34">
        <f t="shared" si="4"/>
        <v>143019</v>
      </c>
      <c r="D38" s="35">
        <f t="shared" si="0"/>
        <v>429057</v>
      </c>
      <c r="E38" s="35">
        <f t="shared" si="9"/>
        <v>17162.174214327209</v>
      </c>
      <c r="F38" s="37">
        <f t="shared" si="10"/>
        <v>446219.17421432718</v>
      </c>
    </row>
    <row r="39" spans="1:6" ht="13" x14ac:dyDescent="0.25">
      <c r="A39" s="41">
        <v>48670</v>
      </c>
      <c r="B39" s="36">
        <f t="shared" si="8"/>
        <v>1573199.3029799943</v>
      </c>
      <c r="C39" s="34">
        <f t="shared" si="4"/>
        <v>157320</v>
      </c>
      <c r="D39" s="35">
        <f t="shared" si="0"/>
        <v>471960</v>
      </c>
      <c r="E39" s="35">
        <f t="shared" si="9"/>
        <v>18878.391635759937</v>
      </c>
      <c r="F39" s="37">
        <f t="shared" si="10"/>
        <v>490838.39163575997</v>
      </c>
    </row>
    <row r="40" spans="1:6" ht="13" x14ac:dyDescent="0.25">
      <c r="A40" s="41">
        <v>48700</v>
      </c>
      <c r="B40" s="36">
        <f t="shared" si="8"/>
        <v>1730519.233277994</v>
      </c>
      <c r="C40" s="34">
        <f t="shared" si="4"/>
        <v>173052</v>
      </c>
      <c r="D40" s="35">
        <f t="shared" si="0"/>
        <v>519156</v>
      </c>
      <c r="E40" s="35">
        <f t="shared" si="9"/>
        <v>20766.230799335928</v>
      </c>
      <c r="F40" s="37">
        <f t="shared" si="10"/>
        <v>539922.23079933599</v>
      </c>
    </row>
    <row r="41" spans="1:6" ht="13" x14ac:dyDescent="0.25">
      <c r="A41" s="41">
        <v>48731</v>
      </c>
      <c r="B41" s="36">
        <f t="shared" si="8"/>
        <v>1903571.1566057936</v>
      </c>
      <c r="C41" s="34">
        <f t="shared" si="4"/>
        <v>190358</v>
      </c>
      <c r="D41" s="35">
        <f t="shared" si="0"/>
        <v>571074</v>
      </c>
      <c r="E41" s="35">
        <f t="shared" si="9"/>
        <v>22842.853879269525</v>
      </c>
      <c r="F41" s="37">
        <f t="shared" si="10"/>
        <v>593916.85387926956</v>
      </c>
    </row>
    <row r="42" spans="1:6" ht="13" x14ac:dyDescent="0.25">
      <c r="A42" s="41">
        <v>48761</v>
      </c>
      <c r="B42" s="36">
        <f t="shared" si="8"/>
        <v>2093928.2722663733</v>
      </c>
      <c r="C42" s="34">
        <f t="shared" si="4"/>
        <v>209393</v>
      </c>
      <c r="D42" s="35">
        <f t="shared" si="0"/>
        <v>628179</v>
      </c>
      <c r="E42" s="35">
        <f t="shared" si="9"/>
        <v>25127.139267196479</v>
      </c>
      <c r="F42" s="37">
        <f t="shared" si="10"/>
        <v>653306.13926719653</v>
      </c>
    </row>
    <row r="43" spans="1:6" ht="13" x14ac:dyDescent="0.25">
      <c r="A43" s="41">
        <v>48792</v>
      </c>
      <c r="B43" s="36">
        <f t="shared" si="8"/>
        <v>2303321.0994930109</v>
      </c>
      <c r="C43" s="34">
        <f t="shared" si="4"/>
        <v>230333</v>
      </c>
      <c r="D43" s="35">
        <f t="shared" si="0"/>
        <v>690999</v>
      </c>
      <c r="E43" s="35">
        <f t="shared" si="9"/>
        <v>27639.853193916133</v>
      </c>
      <c r="F43" s="37">
        <f t="shared" si="10"/>
        <v>718638.85319391615</v>
      </c>
    </row>
    <row r="44" spans="1:6" ht="13" x14ac:dyDescent="0.25">
      <c r="A44" s="41">
        <v>48823</v>
      </c>
      <c r="B44" s="36">
        <f t="shared" si="8"/>
        <v>2533653.2094423124</v>
      </c>
      <c r="C44" s="34">
        <f t="shared" si="4"/>
        <v>253366</v>
      </c>
      <c r="D44" s="35">
        <f t="shared" si="0"/>
        <v>760098</v>
      </c>
      <c r="E44" s="35">
        <f t="shared" si="9"/>
        <v>30403.838513307754</v>
      </c>
      <c r="F44" s="37">
        <f t="shared" si="10"/>
        <v>790501.83851330774</v>
      </c>
    </row>
    <row r="45" spans="1:6" ht="13" x14ac:dyDescent="0.25">
      <c r="A45" s="41">
        <v>48853</v>
      </c>
      <c r="B45" s="36">
        <f t="shared" si="8"/>
        <v>2787018.5303865438</v>
      </c>
      <c r="C45" s="34">
        <f t="shared" si="4"/>
        <v>278702</v>
      </c>
      <c r="D45" s="35">
        <f t="shared" si="0"/>
        <v>836106</v>
      </c>
      <c r="E45" s="35">
        <f t="shared" si="9"/>
        <v>33444.222364638532</v>
      </c>
      <c r="F45" s="37">
        <f t="shared" si="10"/>
        <v>869550.22236463858</v>
      </c>
    </row>
    <row r="46" spans="1:6" ht="13" x14ac:dyDescent="0.25">
      <c r="A46" s="41">
        <v>48884</v>
      </c>
      <c r="B46" s="36">
        <f t="shared" si="8"/>
        <v>3065720.3834251985</v>
      </c>
      <c r="C46" s="34">
        <f t="shared" si="4"/>
        <v>306573</v>
      </c>
      <c r="D46" s="35">
        <f t="shared" si="0"/>
        <v>919719</v>
      </c>
      <c r="E46" s="35">
        <f t="shared" si="9"/>
        <v>36788.64460110238</v>
      </c>
      <c r="F46" s="37">
        <f t="shared" si="10"/>
        <v>956507.64460110234</v>
      </c>
    </row>
    <row r="47" spans="1:6" ht="13" x14ac:dyDescent="0.25">
      <c r="A47" s="41">
        <v>48914</v>
      </c>
      <c r="B47" s="36">
        <f t="shared" si="8"/>
        <v>3372292.4217677186</v>
      </c>
      <c r="C47" s="34">
        <f t="shared" si="4"/>
        <v>337230</v>
      </c>
      <c r="D47" s="35">
        <f t="shared" si="0"/>
        <v>1011690</v>
      </c>
      <c r="E47" s="35">
        <f t="shared" si="9"/>
        <v>40467.50906121263</v>
      </c>
      <c r="F47" s="37">
        <f t="shared" si="10"/>
        <v>1052157.5090612127</v>
      </c>
    </row>
    <row r="48" spans="1:6" ht="13" x14ac:dyDescent="0.25">
      <c r="A48" s="41">
        <v>48945</v>
      </c>
      <c r="B48" s="36">
        <f t="shared" si="8"/>
        <v>3709521.6639444907</v>
      </c>
      <c r="C48" s="34">
        <f t="shared" si="4"/>
        <v>370953</v>
      </c>
      <c r="D48" s="35">
        <f t="shared" si="0"/>
        <v>1112859</v>
      </c>
      <c r="E48" s="35">
        <f t="shared" si="9"/>
        <v>44514.259967333885</v>
      </c>
      <c r="F48" s="37">
        <f t="shared" si="10"/>
        <v>1157373.2599673339</v>
      </c>
    </row>
    <row r="49" spans="1:6" ht="13" x14ac:dyDescent="0.25">
      <c r="A49" s="41">
        <v>48976</v>
      </c>
      <c r="B49" s="36">
        <f t="shared" si="8"/>
        <v>4080473.83033894</v>
      </c>
      <c r="C49" s="34">
        <f t="shared" si="4"/>
        <v>408048</v>
      </c>
      <c r="D49" s="35">
        <f t="shared" si="0"/>
        <v>1224144</v>
      </c>
      <c r="E49" s="35">
        <f t="shared" si="9"/>
        <v>48965.685964067277</v>
      </c>
      <c r="F49" s="37">
        <f t="shared" si="10"/>
        <v>1273109.6859640672</v>
      </c>
    </row>
    <row r="50" spans="1:6" ht="13" x14ac:dyDescent="0.25">
      <c r="A50" s="41">
        <v>49004</v>
      </c>
      <c r="B50" s="36">
        <f t="shared" si="8"/>
        <v>4488521.213372834</v>
      </c>
      <c r="C50" s="34">
        <f t="shared" si="4"/>
        <v>448853</v>
      </c>
      <c r="D50" s="35">
        <f t="shared" si="0"/>
        <v>1346559</v>
      </c>
      <c r="E50" s="35">
        <f t="shared" si="9"/>
        <v>53862.254560474001</v>
      </c>
      <c r="F50" s="37">
        <f t="shared" si="10"/>
        <v>1400421.2545604741</v>
      </c>
    </row>
    <row r="51" spans="1:6" ht="13" x14ac:dyDescent="0.25">
      <c r="A51" s="41">
        <v>49035</v>
      </c>
      <c r="B51" s="36">
        <f t="shared" si="8"/>
        <v>4937373.3347101174</v>
      </c>
      <c r="C51" s="34">
        <f t="shared" si="4"/>
        <v>493738</v>
      </c>
      <c r="D51" s="35">
        <f t="shared" si="0"/>
        <v>1481214</v>
      </c>
      <c r="E51" s="35">
        <f t="shared" si="9"/>
        <v>59248.480016521404</v>
      </c>
      <c r="F51" s="37">
        <f t="shared" si="10"/>
        <v>1540462.4800165214</v>
      </c>
    </row>
    <row r="52" spans="1:6" ht="13" x14ac:dyDescent="0.25">
      <c r="A52" s="41">
        <v>49065</v>
      </c>
      <c r="B52" s="36">
        <f t="shared" si="8"/>
        <v>5431110.6681811297</v>
      </c>
      <c r="C52" s="34">
        <f t="shared" si="4"/>
        <v>543112</v>
      </c>
      <c r="D52" s="35">
        <f t="shared" si="0"/>
        <v>1629336</v>
      </c>
      <c r="E52" s="35">
        <f t="shared" si="9"/>
        <v>65173.328018173568</v>
      </c>
      <c r="F52" s="37">
        <f t="shared" si="10"/>
        <v>1694509.3280181736</v>
      </c>
    </row>
    <row r="53" spans="1:6" ht="13" x14ac:dyDescent="0.25">
      <c r="A53" s="41">
        <v>49096</v>
      </c>
      <c r="B53" s="36">
        <f t="shared" si="8"/>
        <v>5974221.7349992432</v>
      </c>
      <c r="C53" s="34">
        <f t="shared" si="4"/>
        <v>597423</v>
      </c>
      <c r="D53" s="35">
        <f t="shared" si="0"/>
        <v>1792269</v>
      </c>
      <c r="E53" s="35">
        <f t="shared" si="9"/>
        <v>71690.660819990939</v>
      </c>
      <c r="F53" s="37">
        <f t="shared" si="10"/>
        <v>1863959.660819991</v>
      </c>
    </row>
    <row r="54" spans="1:6" ht="13" x14ac:dyDescent="0.25">
      <c r="A54" s="41">
        <v>49126</v>
      </c>
      <c r="B54" s="36">
        <f t="shared" si="8"/>
        <v>6571643.9084991682</v>
      </c>
      <c r="C54" s="34">
        <f t="shared" si="4"/>
        <v>657165</v>
      </c>
      <c r="D54" s="35">
        <f t="shared" si="0"/>
        <v>1971495</v>
      </c>
      <c r="E54" s="35">
        <f t="shared" si="9"/>
        <v>78859.726901990012</v>
      </c>
      <c r="F54" s="37">
        <f t="shared" si="10"/>
        <v>2050354.7269019899</v>
      </c>
    </row>
    <row r="55" spans="1:6" ht="13" x14ac:dyDescent="0.25">
      <c r="A55" s="41">
        <v>49157</v>
      </c>
      <c r="B55" s="36">
        <f t="shared" si="8"/>
        <v>7228808.2993490854</v>
      </c>
      <c r="C55" s="34">
        <f t="shared" si="4"/>
        <v>722881</v>
      </c>
      <c r="D55" s="35">
        <f t="shared" si="0"/>
        <v>2168643</v>
      </c>
      <c r="E55" s="35">
        <f t="shared" si="9"/>
        <v>86745.699592189019</v>
      </c>
      <c r="F55" s="37">
        <f t="shared" si="10"/>
        <v>2255388.6995921889</v>
      </c>
    </row>
    <row r="56" spans="1:6" ht="13" x14ac:dyDescent="0.25">
      <c r="A56" s="41">
        <v>49188</v>
      </c>
      <c r="B56" s="36">
        <f t="shared" si="8"/>
        <v>7951689.1292839944</v>
      </c>
      <c r="C56" s="34">
        <f t="shared" si="4"/>
        <v>795169</v>
      </c>
      <c r="D56" s="35">
        <f t="shared" si="0"/>
        <v>2385507</v>
      </c>
      <c r="E56" s="35">
        <f t="shared" si="9"/>
        <v>95420.269551407953</v>
      </c>
      <c r="F56" s="37">
        <f t="shared" si="10"/>
        <v>2480927.269551408</v>
      </c>
    </row>
    <row r="57" spans="1:6" ht="13" x14ac:dyDescent="0.25">
      <c r="A57" s="41">
        <v>49218</v>
      </c>
      <c r="B57" s="36">
        <f t="shared" si="8"/>
        <v>8746858.042212395</v>
      </c>
      <c r="C57" s="34">
        <f t="shared" si="4"/>
        <v>874686</v>
      </c>
      <c r="D57" s="35">
        <f t="shared" si="0"/>
        <v>2624058</v>
      </c>
      <c r="E57" s="35">
        <f t="shared" si="9"/>
        <v>104962.29650654874</v>
      </c>
      <c r="F57" s="37">
        <f t="shared" si="10"/>
        <v>2729020.2965065488</v>
      </c>
    </row>
    <row r="58" spans="1:6" ht="13" x14ac:dyDescent="0.25">
      <c r="A58" s="41">
        <v>49249</v>
      </c>
      <c r="B58" s="36">
        <f t="shared" si="8"/>
        <v>9621543.8464336358</v>
      </c>
      <c r="C58" s="34">
        <f t="shared" si="4"/>
        <v>962155</v>
      </c>
      <c r="D58" s="35">
        <f t="shared" si="0"/>
        <v>2886465</v>
      </c>
      <c r="E58" s="35">
        <f t="shared" si="9"/>
        <v>115458.52615720364</v>
      </c>
      <c r="F58" s="37">
        <f t="shared" si="10"/>
        <v>3001923.5261572036</v>
      </c>
    </row>
    <row r="59" spans="1:6" ht="13" x14ac:dyDescent="0.25">
      <c r="A59" s="41">
        <v>49279</v>
      </c>
      <c r="B59" s="36">
        <f t="shared" si="8"/>
        <v>10583698.231077</v>
      </c>
      <c r="C59" s="34">
        <f t="shared" si="4"/>
        <v>1058370</v>
      </c>
      <c r="D59" s="35">
        <f t="shared" si="0"/>
        <v>3175110</v>
      </c>
      <c r="E59" s="35">
        <f t="shared" si="9"/>
        <v>127004.378772924</v>
      </c>
      <c r="F59" s="37">
        <f t="shared" si="10"/>
        <v>3302114.3787729242</v>
      </c>
    </row>
    <row r="60" spans="1:6" ht="13" x14ac:dyDescent="0.25">
      <c r="A60" s="41">
        <v>49310</v>
      </c>
      <c r="B60" s="36">
        <f t="shared" si="8"/>
        <v>11642068.054184701</v>
      </c>
      <c r="C60" s="34">
        <f t="shared" si="4"/>
        <v>1164207</v>
      </c>
      <c r="D60" s="35">
        <f t="shared" si="0"/>
        <v>3492621</v>
      </c>
      <c r="E60" s="35">
        <f t="shared" si="9"/>
        <v>139704.81665021641</v>
      </c>
      <c r="F60" s="37">
        <f t="shared" si="10"/>
        <v>3632325.8166502165</v>
      </c>
    </row>
    <row r="61" spans="1:6" ht="13" x14ac:dyDescent="0.25">
      <c r="A61" s="41">
        <v>49341</v>
      </c>
      <c r="B61" s="36">
        <f t="shared" si="8"/>
        <v>12806274.859603172</v>
      </c>
      <c r="C61" s="34">
        <f t="shared" si="4"/>
        <v>1280628</v>
      </c>
      <c r="D61" s="35">
        <f t="shared" si="0"/>
        <v>3841884</v>
      </c>
      <c r="E61" s="35">
        <f t="shared" si="9"/>
        <v>153675.29831523806</v>
      </c>
      <c r="F61" s="37">
        <f t="shared" si="10"/>
        <v>3995559.2983152382</v>
      </c>
    </row>
    <row r="62" spans="1:6" ht="13" x14ac:dyDescent="0.25">
      <c r="A62" s="41">
        <v>49369</v>
      </c>
      <c r="B62" s="36">
        <f t="shared" si="8"/>
        <v>14086902.34556349</v>
      </c>
      <c r="C62" s="34">
        <f t="shared" si="4"/>
        <v>1408691</v>
      </c>
      <c r="D62" s="35">
        <f t="shared" si="0"/>
        <v>4226073</v>
      </c>
      <c r="E62" s="35">
        <f t="shared" si="9"/>
        <v>169042.82814676192</v>
      </c>
      <c r="F62" s="37">
        <f t="shared" si="10"/>
        <v>4395115.8281467622</v>
      </c>
    </row>
    <row r="63" spans="1:6" ht="13" x14ac:dyDescent="0.25">
      <c r="A63" s="41">
        <v>49400</v>
      </c>
      <c r="B63" s="36">
        <f t="shared" si="8"/>
        <v>15495592.580119841</v>
      </c>
      <c r="C63" s="34">
        <f t="shared" si="4"/>
        <v>1549560</v>
      </c>
      <c r="D63" s="35">
        <f t="shared" si="0"/>
        <v>4648680</v>
      </c>
      <c r="E63" s="35">
        <f t="shared" si="9"/>
        <v>185947.1109614381</v>
      </c>
      <c r="F63" s="37">
        <f t="shared" si="10"/>
        <v>4834627.1109614382</v>
      </c>
    </row>
    <row r="64" spans="1:6" ht="13" x14ac:dyDescent="0.25">
      <c r="A64" s="41">
        <v>49430</v>
      </c>
      <c r="B64" s="36">
        <f t="shared" si="8"/>
        <v>17045151.838131826</v>
      </c>
      <c r="C64" s="34">
        <f t="shared" si="4"/>
        <v>1704516</v>
      </c>
      <c r="D64" s="35">
        <f t="shared" si="0"/>
        <v>5113548</v>
      </c>
      <c r="E64" s="35">
        <f t="shared" si="9"/>
        <v>204541.82205758191</v>
      </c>
      <c r="F64" s="37">
        <f t="shared" si="10"/>
        <v>5318089.8220575815</v>
      </c>
    </row>
    <row r="65" spans="1:14" ht="13" x14ac:dyDescent="0.25">
      <c r="A65" s="41">
        <v>49461</v>
      </c>
      <c r="B65" s="36">
        <f t="shared" si="8"/>
        <v>18749667.021945011</v>
      </c>
      <c r="C65" s="34">
        <f t="shared" si="4"/>
        <v>1874967</v>
      </c>
      <c r="D65" s="35">
        <f t="shared" si="0"/>
        <v>5624901</v>
      </c>
      <c r="E65" s="35">
        <f t="shared" si="9"/>
        <v>224996.00426334012</v>
      </c>
      <c r="F65" s="37">
        <f t="shared" si="10"/>
        <v>5849897.0042633405</v>
      </c>
    </row>
    <row r="66" spans="1:14" ht="13" x14ac:dyDescent="0.25">
      <c r="A66" s="41">
        <v>49491</v>
      </c>
      <c r="B66" s="36">
        <f t="shared" si="8"/>
        <v>20624633.724139515</v>
      </c>
      <c r="C66" s="34">
        <f t="shared" si="4"/>
        <v>2062464</v>
      </c>
      <c r="D66" s="35">
        <f t="shared" si="0"/>
        <v>6187392</v>
      </c>
      <c r="E66" s="35">
        <f t="shared" si="9"/>
        <v>247495.60468967419</v>
      </c>
      <c r="F66" s="37">
        <f t="shared" si="10"/>
        <v>6434887.6046896745</v>
      </c>
    </row>
    <row r="67" spans="1:14" ht="13" x14ac:dyDescent="0.25">
      <c r="A67" s="41">
        <v>49522</v>
      </c>
      <c r="B67" s="36">
        <f t="shared" si="8"/>
        <v>22687097.096553467</v>
      </c>
      <c r="C67" s="34">
        <f t="shared" si="4"/>
        <v>2268710</v>
      </c>
      <c r="D67" s="35">
        <f t="shared" si="0"/>
        <v>6806130</v>
      </c>
      <c r="E67" s="35">
        <f t="shared" si="9"/>
        <v>272245.16515864164</v>
      </c>
      <c r="F67" s="37">
        <f t="shared" si="10"/>
        <v>7078375.1651586415</v>
      </c>
    </row>
    <row r="68" spans="1:14" ht="13" x14ac:dyDescent="0.25">
      <c r="A68" s="41">
        <v>49553</v>
      </c>
      <c r="B68" s="36">
        <f t="shared" si="8"/>
        <v>24955806.806208815</v>
      </c>
      <c r="C68" s="34">
        <f t="shared" si="4"/>
        <v>2495581</v>
      </c>
      <c r="D68" s="35">
        <f t="shared" si="0"/>
        <v>7486743</v>
      </c>
      <c r="E68" s="35">
        <f t="shared" si="9"/>
        <v>299469.68167450582</v>
      </c>
      <c r="F68" s="37">
        <f t="shared" si="10"/>
        <v>7786212.6816745056</v>
      </c>
    </row>
    <row r="69" spans="1:14" ht="13" x14ac:dyDescent="0.25">
      <c r="A69" s="41">
        <v>49583</v>
      </c>
      <c r="B69" s="36">
        <f t="shared" si="8"/>
        <v>27451387.486829698</v>
      </c>
      <c r="C69" s="34">
        <f t="shared" si="4"/>
        <v>2745139</v>
      </c>
      <c r="D69" s="35">
        <f t="shared" si="0"/>
        <v>8235417</v>
      </c>
      <c r="E69" s="35">
        <f t="shared" si="9"/>
        <v>329416.64984195639</v>
      </c>
      <c r="F69" s="37">
        <f t="shared" si="10"/>
        <v>8564833.6498419568</v>
      </c>
    </row>
    <row r="70" spans="1:14" ht="13" x14ac:dyDescent="0.25">
      <c r="A70" s="41">
        <v>49614</v>
      </c>
      <c r="B70" s="36">
        <f t="shared" si="8"/>
        <v>30196526.23551267</v>
      </c>
      <c r="C70" s="34">
        <f t="shared" si="4"/>
        <v>3019653</v>
      </c>
      <c r="D70" s="35">
        <f t="shared" si="0"/>
        <v>9058959</v>
      </c>
      <c r="E70" s="35">
        <f t="shared" si="9"/>
        <v>362358.31482615205</v>
      </c>
      <c r="F70" s="37">
        <f t="shared" si="10"/>
        <v>9421317.3148261514</v>
      </c>
    </row>
    <row r="71" spans="1:14" ht="13" x14ac:dyDescent="0.25">
      <c r="A71" s="41">
        <v>49644</v>
      </c>
      <c r="B71" s="36">
        <f t="shared" si="8"/>
        <v>33216178.859063938</v>
      </c>
      <c r="C71" s="34">
        <f t="shared" si="4"/>
        <v>3321618</v>
      </c>
      <c r="D71" s="35">
        <f t="shared" si="0"/>
        <v>9964854</v>
      </c>
      <c r="E71" s="35">
        <f t="shared" si="9"/>
        <v>398594.14630876726</v>
      </c>
      <c r="F71" s="37">
        <f t="shared" si="10"/>
        <v>10363448.146308767</v>
      </c>
    </row>
    <row r="72" spans="1:14" ht="13" thickBot="1" x14ac:dyDescent="0.3"/>
    <row r="73" spans="1:14" ht="23" thickBot="1" x14ac:dyDescent="0.5">
      <c r="A73" s="219" t="s">
        <v>109</v>
      </c>
      <c r="B73" s="220"/>
      <c r="C73" s="220"/>
      <c r="D73" s="220"/>
      <c r="E73" s="220"/>
      <c r="F73" s="220"/>
      <c r="G73" s="220"/>
      <c r="H73" s="220"/>
      <c r="I73" s="220"/>
      <c r="J73" s="220"/>
      <c r="K73" s="220"/>
      <c r="L73" s="220"/>
      <c r="M73" s="220"/>
      <c r="N73" s="220"/>
    </row>
    <row r="76" spans="1:14" ht="52" x14ac:dyDescent="0.25">
      <c r="A76" s="47" t="s">
        <v>122</v>
      </c>
      <c r="B76" s="47" t="s">
        <v>121</v>
      </c>
      <c r="C76" s="47" t="s">
        <v>123</v>
      </c>
      <c r="D76" s="47" t="s">
        <v>124</v>
      </c>
      <c r="E76" s="47" t="s">
        <v>125</v>
      </c>
      <c r="F76" s="47" t="s">
        <v>126</v>
      </c>
      <c r="G76" s="47" t="s">
        <v>143</v>
      </c>
      <c r="H76" s="47" t="s">
        <v>144</v>
      </c>
      <c r="I76" s="47" t="s">
        <v>145</v>
      </c>
      <c r="J76" s="66" t="s">
        <v>146</v>
      </c>
    </row>
    <row r="77" spans="1:14" ht="13" x14ac:dyDescent="0.25">
      <c r="A77" s="41">
        <v>46023</v>
      </c>
      <c r="B77" s="48">
        <v>0</v>
      </c>
      <c r="C77" s="65">
        <f>Backlog!$D$42*-1</f>
        <v>-80833.333333333343</v>
      </c>
      <c r="D77" s="46">
        <f>Backlog!$K$80*-1</f>
        <v>-30209.3841090073</v>
      </c>
      <c r="E77" s="45"/>
      <c r="F77" s="45"/>
      <c r="G77" s="63">
        <f>C77+D77</f>
        <v>-111042.71744234064</v>
      </c>
      <c r="H77" s="67">
        <f>B77</f>
        <v>0</v>
      </c>
      <c r="I77" s="68">
        <f>(IF(H77=0,1,H77)/G77)*-1</f>
        <v>9.0055432993095999E-6</v>
      </c>
      <c r="J77" s="49">
        <f>G77+H77</f>
        <v>-111042.71744234064</v>
      </c>
    </row>
    <row r="78" spans="1:14" ht="13" x14ac:dyDescent="0.25">
      <c r="A78" s="41">
        <v>46054</v>
      </c>
      <c r="B78" s="48">
        <v>0</v>
      </c>
      <c r="C78" s="65">
        <f>Backlog!$D$42*-1</f>
        <v>-80833.333333333343</v>
      </c>
      <c r="D78" s="46">
        <f>Backlog!$K$80*-1</f>
        <v>-30209.3841090073</v>
      </c>
      <c r="E78" s="45"/>
      <c r="F78" s="45"/>
      <c r="G78" s="63">
        <f>C78+D78+G77</f>
        <v>-222085.43488468128</v>
      </c>
      <c r="H78" s="67">
        <f>B78+H77</f>
        <v>0</v>
      </c>
      <c r="I78" s="68">
        <f t="shared" ref="I78:I141" si="11">(IF(H78=0,1,H78)/G78)*-1</f>
        <v>4.5027716496548E-6</v>
      </c>
      <c r="J78" s="49">
        <f t="shared" ref="J78:J141" si="12">G78+H78</f>
        <v>-222085.43488468128</v>
      </c>
    </row>
    <row r="79" spans="1:14" ht="13" x14ac:dyDescent="0.25">
      <c r="A79" s="41">
        <v>46082</v>
      </c>
      <c r="B79" s="48">
        <v>0</v>
      </c>
      <c r="C79" s="65">
        <f>Backlog!$D$42*-1</f>
        <v>-80833.333333333343</v>
      </c>
      <c r="D79" s="46">
        <f>Backlog!$K$80*-1</f>
        <v>-30209.3841090073</v>
      </c>
      <c r="E79" s="45"/>
      <c r="F79" s="45"/>
      <c r="G79" s="63">
        <f t="shared" ref="G79:G136" si="13">C79+D79+G78</f>
        <v>-333128.15232702193</v>
      </c>
      <c r="H79" s="67">
        <f t="shared" ref="H79:H142" si="14">B79+H78</f>
        <v>0</v>
      </c>
      <c r="I79" s="68">
        <f t="shared" si="11"/>
        <v>3.0018477664365333E-6</v>
      </c>
      <c r="J79" s="49">
        <f t="shared" si="12"/>
        <v>-333128.15232702193</v>
      </c>
    </row>
    <row r="80" spans="1:14" ht="13" x14ac:dyDescent="0.25">
      <c r="A80" s="41">
        <v>46113</v>
      </c>
      <c r="B80" s="48">
        <v>0</v>
      </c>
      <c r="C80" s="65">
        <f>Backlog!$D$42*-1</f>
        <v>-80833.333333333343</v>
      </c>
      <c r="D80" s="46">
        <f>Backlog!$K$80*-1</f>
        <v>-30209.3841090073</v>
      </c>
      <c r="E80" s="45"/>
      <c r="F80" s="45"/>
      <c r="G80" s="63">
        <f t="shared" si="13"/>
        <v>-444170.86976936256</v>
      </c>
      <c r="H80" s="67">
        <f t="shared" si="14"/>
        <v>0</v>
      </c>
      <c r="I80" s="68">
        <f t="shared" si="11"/>
        <v>2.2513858248274E-6</v>
      </c>
      <c r="J80" s="49">
        <f t="shared" si="12"/>
        <v>-444170.86976936256</v>
      </c>
    </row>
    <row r="81" spans="1:10" ht="13" x14ac:dyDescent="0.25">
      <c r="A81" s="41">
        <v>46143</v>
      </c>
      <c r="B81" s="48">
        <v>0</v>
      </c>
      <c r="C81" s="65">
        <f>Backlog!$D$42*-1</f>
        <v>-80833.333333333343</v>
      </c>
      <c r="D81" s="46">
        <f>Backlog!$K$80*-1</f>
        <v>-30209.3841090073</v>
      </c>
      <c r="E81" s="45"/>
      <c r="F81" s="45"/>
      <c r="G81" s="63">
        <f t="shared" si="13"/>
        <v>-555213.58721170318</v>
      </c>
      <c r="H81" s="67">
        <f t="shared" si="14"/>
        <v>0</v>
      </c>
      <c r="I81" s="68">
        <f t="shared" si="11"/>
        <v>1.8011086598619202E-6</v>
      </c>
      <c r="J81" s="49">
        <f t="shared" si="12"/>
        <v>-555213.58721170318</v>
      </c>
    </row>
    <row r="82" spans="1:10" ht="13" x14ac:dyDescent="0.25">
      <c r="A82" s="41">
        <v>46174</v>
      </c>
      <c r="B82" s="48">
        <v>0</v>
      </c>
      <c r="C82" s="65">
        <f>Backlog!$D$42*-1</f>
        <v>-80833.333333333343</v>
      </c>
      <c r="D82" s="46">
        <f>Backlog!$K$80*-1</f>
        <v>-30209.3841090073</v>
      </c>
      <c r="E82" s="45"/>
      <c r="F82" s="45"/>
      <c r="G82" s="63">
        <f t="shared" si="13"/>
        <v>-666256.30465404387</v>
      </c>
      <c r="H82" s="67">
        <f t="shared" si="14"/>
        <v>0</v>
      </c>
      <c r="I82" s="68">
        <f t="shared" si="11"/>
        <v>1.5009238832182667E-6</v>
      </c>
      <c r="J82" s="49">
        <f t="shared" si="12"/>
        <v>-666256.30465404387</v>
      </c>
    </row>
    <row r="83" spans="1:10" ht="13" x14ac:dyDescent="0.25">
      <c r="A83" s="41">
        <v>46204</v>
      </c>
      <c r="B83" s="48">
        <v>0</v>
      </c>
      <c r="C83" s="65">
        <f>Backlog!$D$42*-1</f>
        <v>-80833.333333333343</v>
      </c>
      <c r="D83" s="46">
        <f>Backlog!$K$80*-1</f>
        <v>-30209.3841090073</v>
      </c>
      <c r="E83" s="45"/>
      <c r="F83" s="45"/>
      <c r="G83" s="63">
        <f t="shared" si="13"/>
        <v>-777299.02209638455</v>
      </c>
      <c r="H83" s="67">
        <f t="shared" si="14"/>
        <v>0</v>
      </c>
      <c r="I83" s="68">
        <f t="shared" si="11"/>
        <v>1.286506185615657E-6</v>
      </c>
      <c r="J83" s="49">
        <f t="shared" si="12"/>
        <v>-777299.02209638455</v>
      </c>
    </row>
    <row r="84" spans="1:10" ht="13" x14ac:dyDescent="0.25">
      <c r="A84" s="41">
        <v>46235</v>
      </c>
      <c r="B84" s="48">
        <v>0</v>
      </c>
      <c r="C84" s="65">
        <f>Backlog!$D$42*-1</f>
        <v>-80833.333333333343</v>
      </c>
      <c r="D84" s="46">
        <f>Backlog!$K$80*-1</f>
        <v>-30209.3841090073</v>
      </c>
      <c r="E84" s="45"/>
      <c r="F84" s="45"/>
      <c r="G84" s="63">
        <f t="shared" si="13"/>
        <v>-888341.73953872523</v>
      </c>
      <c r="H84" s="67">
        <f t="shared" si="14"/>
        <v>0</v>
      </c>
      <c r="I84" s="68">
        <f t="shared" si="11"/>
        <v>1.1256929124136998E-6</v>
      </c>
      <c r="J84" s="49">
        <f t="shared" si="12"/>
        <v>-888341.73953872523</v>
      </c>
    </row>
    <row r="85" spans="1:10" ht="13" x14ac:dyDescent="0.25">
      <c r="A85" s="41">
        <v>46266</v>
      </c>
      <c r="B85" s="48">
        <v>0</v>
      </c>
      <c r="C85" s="65">
        <f>Backlog!$D$42*-1</f>
        <v>-80833.333333333343</v>
      </c>
      <c r="D85" s="46">
        <f>Backlog!$K$80*-1</f>
        <v>-30209.3841090073</v>
      </c>
      <c r="E85" s="45"/>
      <c r="F85" s="45"/>
      <c r="G85" s="63">
        <f t="shared" si="13"/>
        <v>-999384.45698106592</v>
      </c>
      <c r="H85" s="67">
        <f t="shared" si="14"/>
        <v>0</v>
      </c>
      <c r="I85" s="68">
        <f t="shared" si="11"/>
        <v>1.0006159221455109E-6</v>
      </c>
      <c r="J85" s="49">
        <f t="shared" si="12"/>
        <v>-999384.45698106592</v>
      </c>
    </row>
    <row r="86" spans="1:10" ht="13" x14ac:dyDescent="0.25">
      <c r="A86" s="41">
        <v>46296</v>
      </c>
      <c r="B86" s="48">
        <v>0</v>
      </c>
      <c r="C86" s="65">
        <f>Backlog!$D$42*-1</f>
        <v>-80833.333333333343</v>
      </c>
      <c r="D86" s="46">
        <f>Backlog!$K$80*-1</f>
        <v>-30209.3841090073</v>
      </c>
      <c r="E86" s="45"/>
      <c r="F86" s="45"/>
      <c r="G86" s="63">
        <f t="shared" si="13"/>
        <v>-1110427.1744234066</v>
      </c>
      <c r="H86" s="67">
        <f t="shared" si="14"/>
        <v>0</v>
      </c>
      <c r="I86" s="68">
        <f t="shared" si="11"/>
        <v>9.0055432993095986E-7</v>
      </c>
      <c r="J86" s="49">
        <f t="shared" si="12"/>
        <v>-1110427.1744234066</v>
      </c>
    </row>
    <row r="87" spans="1:10" ht="13" x14ac:dyDescent="0.25">
      <c r="A87" s="41">
        <v>46327</v>
      </c>
      <c r="B87" s="48">
        <v>0</v>
      </c>
      <c r="C87" s="65">
        <f>Backlog!$D$42*-1</f>
        <v>-80833.333333333343</v>
      </c>
      <c r="D87" s="46">
        <f>Backlog!$K$80*-1</f>
        <v>-30209.3841090073</v>
      </c>
      <c r="E87" s="45"/>
      <c r="F87" s="45"/>
      <c r="G87" s="63">
        <f t="shared" si="13"/>
        <v>-1221469.8918657473</v>
      </c>
      <c r="H87" s="67">
        <f t="shared" si="14"/>
        <v>0</v>
      </c>
      <c r="I87" s="68">
        <f t="shared" si="11"/>
        <v>8.1868575448269071E-7</v>
      </c>
      <c r="J87" s="49">
        <f t="shared" si="12"/>
        <v>-1221469.8918657473</v>
      </c>
    </row>
    <row r="88" spans="1:10" ht="13" x14ac:dyDescent="0.25">
      <c r="A88" s="41">
        <v>46357</v>
      </c>
      <c r="B88" s="48">
        <v>0</v>
      </c>
      <c r="C88" s="65">
        <f>Backlog!$D$42*-1</f>
        <v>-80833.333333333343</v>
      </c>
      <c r="D88" s="46">
        <f>Backlog!$K$80*-1</f>
        <v>-30209.3841090073</v>
      </c>
      <c r="E88" s="45"/>
      <c r="F88" s="45"/>
      <c r="G88" s="63">
        <f t="shared" si="13"/>
        <v>-1332512.609308088</v>
      </c>
      <c r="H88" s="67">
        <f t="shared" si="14"/>
        <v>0</v>
      </c>
      <c r="I88" s="68">
        <f t="shared" si="11"/>
        <v>7.5046194160913322E-7</v>
      </c>
      <c r="J88" s="49">
        <f t="shared" si="12"/>
        <v>-1332512.609308088</v>
      </c>
    </row>
    <row r="89" spans="1:10" ht="13" x14ac:dyDescent="0.25">
      <c r="A89" s="41">
        <v>46388</v>
      </c>
      <c r="B89" s="48">
        <v>0</v>
      </c>
      <c r="C89" s="65">
        <f>Backlog!$D$42*-1</f>
        <v>-80833.333333333343</v>
      </c>
      <c r="D89" s="46">
        <f>Backlog!$K$80*-1</f>
        <v>-30209.3841090073</v>
      </c>
      <c r="E89" s="45"/>
      <c r="F89" s="45"/>
      <c r="G89" s="63">
        <f t="shared" si="13"/>
        <v>-1443555.3267504286</v>
      </c>
      <c r="H89" s="67">
        <f t="shared" si="14"/>
        <v>0</v>
      </c>
      <c r="I89" s="68">
        <f t="shared" si="11"/>
        <v>6.9273409994689218E-7</v>
      </c>
      <c r="J89" s="49">
        <f t="shared" si="12"/>
        <v>-1443555.3267504286</v>
      </c>
    </row>
    <row r="90" spans="1:10" ht="13" x14ac:dyDescent="0.25">
      <c r="A90" s="41">
        <v>46419</v>
      </c>
      <c r="B90" s="48">
        <v>0</v>
      </c>
      <c r="C90" s="65">
        <f>Backlog!$D$42*-1</f>
        <v>-80833.333333333343</v>
      </c>
      <c r="D90" s="46">
        <f>Backlog!$K$80*-1</f>
        <v>-30209.3841090073</v>
      </c>
      <c r="E90" s="45"/>
      <c r="F90" s="45"/>
      <c r="G90" s="63">
        <f t="shared" si="13"/>
        <v>-1554598.0441927693</v>
      </c>
      <c r="H90" s="67">
        <f t="shared" si="14"/>
        <v>0</v>
      </c>
      <c r="I90" s="68">
        <f t="shared" si="11"/>
        <v>6.4325309280782838E-7</v>
      </c>
      <c r="J90" s="49">
        <f t="shared" si="12"/>
        <v>-1554598.0441927693</v>
      </c>
    </row>
    <row r="91" spans="1:10" ht="13" x14ac:dyDescent="0.25">
      <c r="A91" s="41">
        <v>46447</v>
      </c>
      <c r="B91" s="48">
        <v>0</v>
      </c>
      <c r="C91" s="65">
        <f>Backlog!$D$42*-1</f>
        <v>-80833.333333333343</v>
      </c>
      <c r="D91" s="46">
        <f>Backlog!$K$80*-1</f>
        <v>-30209.3841090073</v>
      </c>
      <c r="E91" s="45"/>
      <c r="F91" s="45"/>
      <c r="G91" s="63">
        <f t="shared" si="13"/>
        <v>-1665640.76163511</v>
      </c>
      <c r="H91" s="67">
        <f t="shared" si="14"/>
        <v>0</v>
      </c>
      <c r="I91" s="68">
        <f t="shared" si="11"/>
        <v>6.0036955328730647E-7</v>
      </c>
      <c r="J91" s="49">
        <f t="shared" si="12"/>
        <v>-1665640.76163511</v>
      </c>
    </row>
    <row r="92" spans="1:10" ht="13" x14ac:dyDescent="0.25">
      <c r="A92" s="41">
        <v>46478</v>
      </c>
      <c r="B92" s="48">
        <v>0</v>
      </c>
      <c r="C92" s="65">
        <f>Backlog!$D$42*-1</f>
        <v>-80833.333333333343</v>
      </c>
      <c r="D92" s="46">
        <f>Backlog!$K$80*-1</f>
        <v>-30209.3841090073</v>
      </c>
      <c r="E92" s="45"/>
      <c r="F92" s="45"/>
      <c r="G92" s="63">
        <f t="shared" si="13"/>
        <v>-1776683.4790774507</v>
      </c>
      <c r="H92" s="67">
        <f t="shared" si="14"/>
        <v>0</v>
      </c>
      <c r="I92" s="68">
        <f t="shared" si="11"/>
        <v>5.6284645620684989E-7</v>
      </c>
      <c r="J92" s="49">
        <f t="shared" si="12"/>
        <v>-1776683.4790774507</v>
      </c>
    </row>
    <row r="93" spans="1:10" ht="13" x14ac:dyDescent="0.25">
      <c r="A93" s="41">
        <v>46508</v>
      </c>
      <c r="B93" s="48">
        <v>0</v>
      </c>
      <c r="C93" s="65">
        <f>Backlog!$D$42*-1</f>
        <v>-80833.333333333343</v>
      </c>
      <c r="D93" s="46">
        <f>Backlog!$K$80*-1</f>
        <v>-30209.3841090073</v>
      </c>
      <c r="E93" s="45"/>
      <c r="F93" s="45"/>
      <c r="G93" s="63">
        <f t="shared" si="13"/>
        <v>-1887726.1965197914</v>
      </c>
      <c r="H93" s="67">
        <f t="shared" si="14"/>
        <v>0</v>
      </c>
      <c r="I93" s="68">
        <f t="shared" si="11"/>
        <v>5.2973784113585872E-7</v>
      </c>
      <c r="J93" s="49">
        <f t="shared" si="12"/>
        <v>-1887726.1965197914</v>
      </c>
    </row>
    <row r="94" spans="1:10" ht="13" x14ac:dyDescent="0.25">
      <c r="A94" s="41">
        <v>46539</v>
      </c>
      <c r="B94" s="48">
        <v>0</v>
      </c>
      <c r="C94" s="65">
        <f>Backlog!$D$42*-1</f>
        <v>-80833.333333333343</v>
      </c>
      <c r="D94" s="46">
        <f>Backlog!$K$80*-1</f>
        <v>-30209.3841090073</v>
      </c>
      <c r="E94" s="45"/>
      <c r="F94" s="45"/>
      <c r="G94" s="63">
        <f t="shared" si="13"/>
        <v>-1998768.9139621321</v>
      </c>
      <c r="H94" s="67">
        <f t="shared" si="14"/>
        <v>0</v>
      </c>
      <c r="I94" s="68">
        <f t="shared" si="11"/>
        <v>5.0030796107275544E-7</v>
      </c>
      <c r="J94" s="49">
        <f t="shared" si="12"/>
        <v>-1998768.9139621321</v>
      </c>
    </row>
    <row r="95" spans="1:10" ht="13" x14ac:dyDescent="0.25">
      <c r="A95" s="41">
        <v>46569</v>
      </c>
      <c r="B95" s="48">
        <v>0</v>
      </c>
      <c r="C95" s="65">
        <f>Backlog!$D$42*-1</f>
        <v>-80833.333333333343</v>
      </c>
      <c r="D95" s="46">
        <f>Backlog!$K$80*-1</f>
        <v>-30209.3841090073</v>
      </c>
      <c r="E95" s="45"/>
      <c r="F95" s="45"/>
      <c r="G95" s="63">
        <f t="shared" si="13"/>
        <v>-2109811.6314044725</v>
      </c>
      <c r="H95" s="67">
        <f t="shared" si="14"/>
        <v>0</v>
      </c>
      <c r="I95" s="68">
        <f t="shared" si="11"/>
        <v>4.7397596312155784E-7</v>
      </c>
      <c r="J95" s="49">
        <f t="shared" si="12"/>
        <v>-2109811.6314044725</v>
      </c>
    </row>
    <row r="96" spans="1:10" ht="13" x14ac:dyDescent="0.25">
      <c r="A96" s="41">
        <v>46600</v>
      </c>
      <c r="B96" s="48">
        <v>0</v>
      </c>
      <c r="C96" s="65">
        <f>Backlog!$D$42*-1</f>
        <v>-80833.333333333343</v>
      </c>
      <c r="D96" s="46">
        <f>Backlog!$K$80*-1</f>
        <v>-30209.3841090073</v>
      </c>
      <c r="E96" s="45"/>
      <c r="F96" s="45"/>
      <c r="G96" s="63">
        <f t="shared" si="13"/>
        <v>-2220854.3488468132</v>
      </c>
      <c r="H96" s="67">
        <f t="shared" si="14"/>
        <v>0</v>
      </c>
      <c r="I96" s="68">
        <f t="shared" si="11"/>
        <v>4.5027716496547993E-7</v>
      </c>
      <c r="J96" s="49">
        <f t="shared" si="12"/>
        <v>-2220854.3488468132</v>
      </c>
    </row>
    <row r="97" spans="1:10" ht="13" x14ac:dyDescent="0.25">
      <c r="A97" s="41">
        <v>46631</v>
      </c>
      <c r="B97" s="48">
        <v>0</v>
      </c>
      <c r="C97" s="65">
        <f>Backlog!$D$42*-1</f>
        <v>-80833.333333333343</v>
      </c>
      <c r="D97" s="46">
        <f>Backlog!$K$80*-1</f>
        <v>-30209.3841090073</v>
      </c>
      <c r="E97" s="45"/>
      <c r="F97" s="45"/>
      <c r="G97" s="63">
        <f t="shared" si="13"/>
        <v>-2331897.0662891539</v>
      </c>
      <c r="H97" s="67">
        <f t="shared" si="14"/>
        <v>0</v>
      </c>
      <c r="I97" s="68">
        <f t="shared" si="11"/>
        <v>4.2883539520521898E-7</v>
      </c>
      <c r="J97" s="49">
        <f t="shared" si="12"/>
        <v>-2331897.0662891539</v>
      </c>
    </row>
    <row r="98" spans="1:10" ht="13" x14ac:dyDescent="0.25">
      <c r="A98" s="41">
        <v>46661</v>
      </c>
      <c r="B98" s="48">
        <v>0</v>
      </c>
      <c r="C98" s="65">
        <f>Backlog!$D$42*-1</f>
        <v>-80833.333333333343</v>
      </c>
      <c r="D98" s="46">
        <f>Backlog!$K$80*-1</f>
        <v>-30209.3841090073</v>
      </c>
      <c r="E98" s="45"/>
      <c r="F98" s="45"/>
      <c r="G98" s="63">
        <f t="shared" si="13"/>
        <v>-2442939.7837314946</v>
      </c>
      <c r="H98" s="67">
        <f t="shared" si="14"/>
        <v>0</v>
      </c>
      <c r="I98" s="68">
        <f t="shared" si="11"/>
        <v>4.0934287724134535E-7</v>
      </c>
      <c r="J98" s="49">
        <f t="shared" si="12"/>
        <v>-2442939.7837314946</v>
      </c>
    </row>
    <row r="99" spans="1:10" ht="13" x14ac:dyDescent="0.25">
      <c r="A99" s="41">
        <v>46692</v>
      </c>
      <c r="B99" s="48">
        <v>0</v>
      </c>
      <c r="C99" s="65">
        <f>Backlog!$D$42*-1</f>
        <v>-80833.333333333343</v>
      </c>
      <c r="D99" s="46">
        <f>Backlog!$K$80*-1</f>
        <v>-30209.3841090073</v>
      </c>
      <c r="E99" s="45"/>
      <c r="F99" s="45"/>
      <c r="G99" s="63">
        <f t="shared" si="13"/>
        <v>-2553982.5011738352</v>
      </c>
      <c r="H99" s="67">
        <f t="shared" si="14"/>
        <v>0</v>
      </c>
      <c r="I99" s="68">
        <f t="shared" si="11"/>
        <v>3.9154536083954776E-7</v>
      </c>
      <c r="J99" s="49">
        <f t="shared" si="12"/>
        <v>-2553982.5011738352</v>
      </c>
    </row>
    <row r="100" spans="1:10" ht="13" x14ac:dyDescent="0.25">
      <c r="A100" s="41">
        <v>46722</v>
      </c>
      <c r="B100" s="48">
        <v>0</v>
      </c>
      <c r="C100" s="65">
        <f>Backlog!$D$42*-1</f>
        <v>-80833.333333333343</v>
      </c>
      <c r="D100" s="46">
        <f>Backlog!$K$80*-1</f>
        <v>-30209.3841090073</v>
      </c>
      <c r="E100" s="45"/>
      <c r="F100" s="45"/>
      <c r="G100" s="63">
        <f t="shared" si="13"/>
        <v>-2665025.2186161759</v>
      </c>
      <c r="H100" s="67">
        <f t="shared" si="14"/>
        <v>0</v>
      </c>
      <c r="I100" s="68">
        <f t="shared" si="11"/>
        <v>3.7523097080456661E-7</v>
      </c>
      <c r="J100" s="49">
        <f t="shared" si="12"/>
        <v>-2665025.2186161759</v>
      </c>
    </row>
    <row r="101" spans="1:10" ht="13" x14ac:dyDescent="0.25">
      <c r="A101" s="41">
        <v>46753</v>
      </c>
      <c r="B101" s="48">
        <v>0</v>
      </c>
      <c r="C101" s="65">
        <f>Backlog!$D$42*-1</f>
        <v>-80833.333333333343</v>
      </c>
      <c r="D101" s="46">
        <f>Backlog!$K$80*-1</f>
        <v>-30209.3841090073</v>
      </c>
      <c r="E101" s="45"/>
      <c r="F101" s="45"/>
      <c r="G101" s="63">
        <f t="shared" si="13"/>
        <v>-2776067.9360585166</v>
      </c>
      <c r="H101" s="67">
        <f t="shared" si="14"/>
        <v>0</v>
      </c>
      <c r="I101" s="68">
        <f t="shared" si="11"/>
        <v>3.6022173197238394E-7</v>
      </c>
      <c r="J101" s="49">
        <f t="shared" si="12"/>
        <v>-2776067.9360585166</v>
      </c>
    </row>
    <row r="102" spans="1:10" ht="13" x14ac:dyDescent="0.25">
      <c r="A102" s="41">
        <v>46784</v>
      </c>
      <c r="B102" s="48">
        <v>0</v>
      </c>
      <c r="C102" s="65">
        <f>Backlog!$D$42*-1</f>
        <v>-80833.333333333343</v>
      </c>
      <c r="D102" s="46">
        <f>Backlog!$K$80*-1</f>
        <v>-30209.3841090073</v>
      </c>
      <c r="E102" s="45"/>
      <c r="F102" s="45"/>
      <c r="G102" s="63">
        <f t="shared" si="13"/>
        <v>-2887110.6535008573</v>
      </c>
      <c r="H102" s="67">
        <f t="shared" si="14"/>
        <v>0</v>
      </c>
      <c r="I102" s="68">
        <f t="shared" si="11"/>
        <v>3.4636704997344609E-7</v>
      </c>
      <c r="J102" s="49">
        <f t="shared" si="12"/>
        <v>-2887110.6535008573</v>
      </c>
    </row>
    <row r="103" spans="1:10" ht="13" x14ac:dyDescent="0.25">
      <c r="A103" s="41">
        <v>46813</v>
      </c>
      <c r="B103" s="48">
        <v>0</v>
      </c>
      <c r="C103" s="65">
        <f>Backlog!$D$42*-1</f>
        <v>-80833.333333333343</v>
      </c>
      <c r="D103" s="46">
        <f>Backlog!$K$80*-1</f>
        <v>-30209.3841090073</v>
      </c>
      <c r="E103" s="45"/>
      <c r="F103" s="45"/>
      <c r="G103" s="63">
        <f t="shared" si="13"/>
        <v>-2998153.370943198</v>
      </c>
      <c r="H103" s="67">
        <f t="shared" si="14"/>
        <v>0</v>
      </c>
      <c r="I103" s="68">
        <f t="shared" si="11"/>
        <v>3.335386407151703E-7</v>
      </c>
      <c r="J103" s="49">
        <f t="shared" si="12"/>
        <v>-2998153.370943198</v>
      </c>
    </row>
    <row r="104" spans="1:10" ht="13" x14ac:dyDescent="0.25">
      <c r="A104" s="41">
        <v>46844</v>
      </c>
      <c r="B104" s="48">
        <v>0</v>
      </c>
      <c r="C104" s="65">
        <f>Backlog!$D$42*-1</f>
        <v>-80833.333333333343</v>
      </c>
      <c r="D104" s="46">
        <f>Backlog!$K$80*-1</f>
        <v>-30209.3841090073</v>
      </c>
      <c r="E104" s="45"/>
      <c r="F104" s="45"/>
      <c r="G104" s="63">
        <f t="shared" si="13"/>
        <v>-3109196.0883855387</v>
      </c>
      <c r="H104" s="67">
        <f t="shared" si="14"/>
        <v>0</v>
      </c>
      <c r="I104" s="68">
        <f t="shared" si="11"/>
        <v>3.2162654640391419E-7</v>
      </c>
      <c r="J104" s="49">
        <f t="shared" si="12"/>
        <v>-3109196.0883855387</v>
      </c>
    </row>
    <row r="105" spans="1:10" ht="13" x14ac:dyDescent="0.25">
      <c r="A105" s="41">
        <v>46874</v>
      </c>
      <c r="B105" s="48">
        <v>0</v>
      </c>
      <c r="C105" s="65">
        <f>Backlog!$D$42*-1</f>
        <v>-80833.333333333343</v>
      </c>
      <c r="D105" s="46">
        <f>Backlog!$K$80*-1</f>
        <v>-30209.3841090073</v>
      </c>
      <c r="E105" s="45"/>
      <c r="F105" s="45"/>
      <c r="G105" s="63">
        <f t="shared" si="13"/>
        <v>-3220238.8058278793</v>
      </c>
      <c r="H105" s="67">
        <f t="shared" si="14"/>
        <v>0</v>
      </c>
      <c r="I105" s="68">
        <f t="shared" si="11"/>
        <v>3.1053597583826201E-7</v>
      </c>
      <c r="J105" s="49">
        <f t="shared" si="12"/>
        <v>-3220238.8058278793</v>
      </c>
    </row>
    <row r="106" spans="1:10" ht="13" x14ac:dyDescent="0.25">
      <c r="A106" s="41">
        <v>46905</v>
      </c>
      <c r="B106" s="48">
        <v>0</v>
      </c>
      <c r="C106" s="65">
        <f>Backlog!$D$42*-1</f>
        <v>-80833.333333333343</v>
      </c>
      <c r="D106" s="46">
        <f>Backlog!$K$80*-1</f>
        <v>-30209.3841090073</v>
      </c>
      <c r="E106" s="45"/>
      <c r="F106" s="45"/>
      <c r="G106" s="63">
        <f t="shared" si="13"/>
        <v>-3331281.52327022</v>
      </c>
      <c r="H106" s="67">
        <f t="shared" si="14"/>
        <v>0</v>
      </c>
      <c r="I106" s="68">
        <f t="shared" si="11"/>
        <v>3.0018477664365324E-7</v>
      </c>
      <c r="J106" s="49">
        <f t="shared" si="12"/>
        <v>-3331281.52327022</v>
      </c>
    </row>
    <row r="107" spans="1:10" ht="13" x14ac:dyDescent="0.25">
      <c r="A107" s="41">
        <v>46935</v>
      </c>
      <c r="B107" s="48">
        <v>0</v>
      </c>
      <c r="C107" s="65">
        <f>Backlog!$D$42*-1</f>
        <v>-80833.333333333343</v>
      </c>
      <c r="D107" s="46">
        <f>Backlog!$K$80*-1</f>
        <v>-30209.3841090073</v>
      </c>
      <c r="E107" s="45"/>
      <c r="F107" s="45"/>
      <c r="G107" s="63">
        <f t="shared" si="13"/>
        <v>-3442324.2407125607</v>
      </c>
      <c r="H107" s="67">
        <f t="shared" si="14"/>
        <v>0</v>
      </c>
      <c r="I107" s="68">
        <f t="shared" si="11"/>
        <v>2.9050139675192252E-7</v>
      </c>
      <c r="J107" s="49">
        <f t="shared" si="12"/>
        <v>-3442324.2407125607</v>
      </c>
    </row>
    <row r="108" spans="1:10" ht="13" x14ac:dyDescent="0.25">
      <c r="A108" s="41">
        <v>46966</v>
      </c>
      <c r="B108" s="48">
        <v>0</v>
      </c>
      <c r="C108" s="65">
        <f>Backlog!$D$42*-1</f>
        <v>-80833.333333333343</v>
      </c>
      <c r="D108" s="46">
        <f>Backlog!$K$80*-1</f>
        <v>-30209.3841090073</v>
      </c>
      <c r="E108" s="45"/>
      <c r="F108" s="45"/>
      <c r="G108" s="63">
        <f t="shared" si="13"/>
        <v>-3553366.9581549014</v>
      </c>
      <c r="H108" s="67">
        <f t="shared" si="14"/>
        <v>0</v>
      </c>
      <c r="I108" s="68">
        <f t="shared" si="11"/>
        <v>2.8142322810342494E-7</v>
      </c>
      <c r="J108" s="49">
        <f t="shared" si="12"/>
        <v>-3553366.9581549014</v>
      </c>
    </row>
    <row r="109" spans="1:10" ht="13" x14ac:dyDescent="0.25">
      <c r="A109" s="41">
        <v>46997</v>
      </c>
      <c r="B109" s="48">
        <v>0</v>
      </c>
      <c r="C109" s="65">
        <f>Backlog!$D$42*-1</f>
        <v>-80833.333333333343</v>
      </c>
      <c r="D109" s="46">
        <f>Backlog!$K$80*-1</f>
        <v>-30209.3841090073</v>
      </c>
      <c r="E109" s="45"/>
      <c r="F109" s="45"/>
      <c r="G109" s="63">
        <f t="shared" si="13"/>
        <v>-3664409.6755972421</v>
      </c>
      <c r="H109" s="67">
        <f t="shared" si="14"/>
        <v>0</v>
      </c>
      <c r="I109" s="68">
        <f t="shared" si="11"/>
        <v>2.7289525149423022E-7</v>
      </c>
      <c r="J109" s="49">
        <f t="shared" si="12"/>
        <v>-3664409.6755972421</v>
      </c>
    </row>
    <row r="110" spans="1:10" ht="13" x14ac:dyDescent="0.25">
      <c r="A110" s="41">
        <v>47027</v>
      </c>
      <c r="B110" s="48">
        <v>0</v>
      </c>
      <c r="C110" s="65">
        <f>Backlog!$D$42*-1</f>
        <v>-80833.333333333343</v>
      </c>
      <c r="D110" s="46">
        <f>Backlog!$K$80*-1</f>
        <v>-30209.3841090073</v>
      </c>
      <c r="E110" s="45"/>
      <c r="F110" s="45"/>
      <c r="G110" s="63">
        <f t="shared" si="13"/>
        <v>-3775452.3930395828</v>
      </c>
      <c r="H110" s="67">
        <f t="shared" si="14"/>
        <v>0</v>
      </c>
      <c r="I110" s="68">
        <f t="shared" si="11"/>
        <v>2.6486892056792936E-7</v>
      </c>
      <c r="J110" s="49">
        <f t="shared" si="12"/>
        <v>-3775452.3930395828</v>
      </c>
    </row>
    <row r="111" spans="1:10" ht="13" x14ac:dyDescent="0.25">
      <c r="A111" s="41">
        <v>47058</v>
      </c>
      <c r="B111" s="48">
        <v>0</v>
      </c>
      <c r="C111" s="65">
        <f>Backlog!$D$42*-1</f>
        <v>-80833.333333333343</v>
      </c>
      <c r="D111" s="46">
        <f>Backlog!$K$80*-1</f>
        <v>-30209.3841090073</v>
      </c>
      <c r="E111" s="45"/>
      <c r="F111" s="45"/>
      <c r="G111" s="63">
        <f t="shared" si="13"/>
        <v>-3886495.1104819234</v>
      </c>
      <c r="H111" s="67">
        <f t="shared" si="14"/>
        <v>0</v>
      </c>
      <c r="I111" s="68">
        <f t="shared" si="11"/>
        <v>2.5730123712313137E-7</v>
      </c>
      <c r="J111" s="49">
        <f t="shared" si="12"/>
        <v>-3886495.1104819234</v>
      </c>
    </row>
    <row r="112" spans="1:10" ht="13" x14ac:dyDescent="0.25">
      <c r="A112" s="41">
        <v>47088</v>
      </c>
      <c r="B112" s="48">
        <v>0</v>
      </c>
      <c r="C112" s="65">
        <f>Backlog!$D$42*-1</f>
        <v>-80833.333333333343</v>
      </c>
      <c r="D112" s="46">
        <f>Backlog!$K$80*-1</f>
        <v>-30209.3841090073</v>
      </c>
      <c r="E112" s="45"/>
      <c r="F112" s="45"/>
      <c r="G112" s="63">
        <f t="shared" si="13"/>
        <v>-3997537.8279242641</v>
      </c>
      <c r="H112" s="67">
        <f t="shared" si="14"/>
        <v>0</v>
      </c>
      <c r="I112" s="68">
        <f t="shared" si="11"/>
        <v>2.5015398053637772E-7</v>
      </c>
      <c r="J112" s="49">
        <f t="shared" si="12"/>
        <v>-3997537.8279242641</v>
      </c>
    </row>
    <row r="113" spans="1:10" ht="13" x14ac:dyDescent="0.25">
      <c r="A113" s="41">
        <v>47119</v>
      </c>
      <c r="B113" s="48">
        <v>0</v>
      </c>
      <c r="C113" s="65">
        <f>Backlog!$D$42*-1</f>
        <v>-80833.333333333343</v>
      </c>
      <c r="D113" s="46">
        <f>Backlog!$K$80*-1</f>
        <v>-30209.3841090073</v>
      </c>
      <c r="E113" s="45"/>
      <c r="F113" s="45"/>
      <c r="G113" s="63">
        <f t="shared" si="13"/>
        <v>-4108580.5453666048</v>
      </c>
      <c r="H113" s="67">
        <f t="shared" si="14"/>
        <v>0</v>
      </c>
      <c r="I113" s="68">
        <f t="shared" si="11"/>
        <v>2.4339306214350263E-7</v>
      </c>
      <c r="J113" s="49">
        <f t="shared" si="12"/>
        <v>-4108580.5453666048</v>
      </c>
    </row>
    <row r="114" spans="1:10" ht="13" x14ac:dyDescent="0.25">
      <c r="A114" s="41">
        <v>47150</v>
      </c>
      <c r="B114" s="48">
        <v>0</v>
      </c>
      <c r="C114" s="65">
        <f>Backlog!$D$42*-1</f>
        <v>-80833.333333333343</v>
      </c>
      <c r="D114" s="46">
        <f>Backlog!$K$80*-1</f>
        <v>-30209.3841090073</v>
      </c>
      <c r="E114" s="45"/>
      <c r="F114" s="45"/>
      <c r="G114" s="63">
        <f t="shared" si="13"/>
        <v>-4219623.262808945</v>
      </c>
      <c r="H114" s="67">
        <f t="shared" si="14"/>
        <v>0</v>
      </c>
      <c r="I114" s="68">
        <f t="shared" si="11"/>
        <v>2.3698798156077892E-7</v>
      </c>
      <c r="J114" s="49">
        <f t="shared" si="12"/>
        <v>-4219623.262808945</v>
      </c>
    </row>
    <row r="115" spans="1:10" ht="13" x14ac:dyDescent="0.25">
      <c r="A115" s="41">
        <v>47178</v>
      </c>
      <c r="B115" s="48">
        <v>0</v>
      </c>
      <c r="C115" s="65">
        <f>Backlog!$D$42*-1</f>
        <v>-80833.333333333343</v>
      </c>
      <c r="D115" s="46">
        <f>Backlog!$K$80*-1</f>
        <v>-30209.3841090073</v>
      </c>
      <c r="E115" s="45"/>
      <c r="F115" s="45"/>
      <c r="G115" s="63">
        <f t="shared" si="13"/>
        <v>-4330665.9802512852</v>
      </c>
      <c r="H115" s="67">
        <f t="shared" si="14"/>
        <v>0</v>
      </c>
      <c r="I115" s="68">
        <f t="shared" si="11"/>
        <v>2.3091136664896409E-7</v>
      </c>
      <c r="J115" s="49">
        <f t="shared" si="12"/>
        <v>-4330665.9802512852</v>
      </c>
    </row>
    <row r="116" spans="1:10" ht="13" x14ac:dyDescent="0.25">
      <c r="A116" s="41">
        <v>47209</v>
      </c>
      <c r="B116" s="48">
        <v>0</v>
      </c>
      <c r="C116" s="65">
        <f>Backlog!$D$42*-1</f>
        <v>-80833.333333333343</v>
      </c>
      <c r="D116" s="46">
        <f>Backlog!$K$80*-1</f>
        <v>-30209.3841090073</v>
      </c>
      <c r="E116" s="45"/>
      <c r="F116" s="45"/>
      <c r="G116" s="63">
        <f t="shared" si="13"/>
        <v>-4441708.6976936255</v>
      </c>
      <c r="H116" s="67">
        <f t="shared" si="14"/>
        <v>0</v>
      </c>
      <c r="I116" s="68">
        <f t="shared" si="11"/>
        <v>2.2513858248274002E-7</v>
      </c>
      <c r="J116" s="49">
        <f t="shared" si="12"/>
        <v>-4441708.6976936255</v>
      </c>
    </row>
    <row r="117" spans="1:10" ht="13" x14ac:dyDescent="0.25">
      <c r="A117" s="41">
        <v>47239</v>
      </c>
      <c r="B117" s="48">
        <v>0</v>
      </c>
      <c r="C117" s="65">
        <f>Backlog!$D$42*-1</f>
        <v>-80833.333333333343</v>
      </c>
      <c r="D117" s="46">
        <f>Backlog!$K$80*-1</f>
        <v>-30209.3841090073</v>
      </c>
      <c r="E117" s="45"/>
      <c r="F117" s="45"/>
      <c r="G117" s="63">
        <f t="shared" si="13"/>
        <v>-4552751.4151359657</v>
      </c>
      <c r="H117" s="67">
        <f t="shared" si="14"/>
        <v>0</v>
      </c>
      <c r="I117" s="68">
        <f t="shared" si="11"/>
        <v>2.196473975441366E-7</v>
      </c>
      <c r="J117" s="49">
        <f t="shared" si="12"/>
        <v>-4552751.4151359657</v>
      </c>
    </row>
    <row r="118" spans="1:10" ht="13" x14ac:dyDescent="0.25">
      <c r="A118" s="41">
        <v>47270</v>
      </c>
      <c r="B118" s="48">
        <v>0</v>
      </c>
      <c r="C118" s="65">
        <f>Backlog!$D$42*-1</f>
        <v>-80833.333333333343</v>
      </c>
      <c r="D118" s="46">
        <f>Backlog!$K$80*-1</f>
        <v>-30209.3841090073</v>
      </c>
      <c r="E118" s="45"/>
      <c r="F118" s="45"/>
      <c r="G118" s="63">
        <f t="shared" si="13"/>
        <v>-4663794.1325783059</v>
      </c>
      <c r="H118" s="67">
        <f t="shared" si="14"/>
        <v>0</v>
      </c>
      <c r="I118" s="68">
        <f t="shared" si="11"/>
        <v>2.1441769760260957E-7</v>
      </c>
      <c r="J118" s="49">
        <f t="shared" si="12"/>
        <v>-4663794.1325783059</v>
      </c>
    </row>
    <row r="119" spans="1:10" ht="13" x14ac:dyDescent="0.25">
      <c r="A119" s="41">
        <v>47300</v>
      </c>
      <c r="B119" s="48">
        <v>0</v>
      </c>
      <c r="C119" s="65">
        <f>Backlog!$D$42*-1</f>
        <v>-80833.333333333343</v>
      </c>
      <c r="D119" s="46">
        <f>Backlog!$K$80*-1</f>
        <v>-30209.3841090073</v>
      </c>
      <c r="E119" s="45"/>
      <c r="F119" s="45"/>
      <c r="G119" s="63">
        <f t="shared" si="13"/>
        <v>-4774836.8500206461</v>
      </c>
      <c r="H119" s="67">
        <f t="shared" si="14"/>
        <v>0</v>
      </c>
      <c r="I119" s="68">
        <f t="shared" si="11"/>
        <v>2.0943123951882797E-7</v>
      </c>
      <c r="J119" s="49">
        <f t="shared" si="12"/>
        <v>-4774836.8500206461</v>
      </c>
    </row>
    <row r="120" spans="1:10" ht="13" x14ac:dyDescent="0.25">
      <c r="A120" s="41">
        <v>47331</v>
      </c>
      <c r="B120" s="48">
        <v>0</v>
      </c>
      <c r="C120" s="65">
        <f>Backlog!$D$42*-1</f>
        <v>-80833.333333333343</v>
      </c>
      <c r="D120" s="46">
        <f>Backlog!$K$80*-1</f>
        <v>-30209.3841090073</v>
      </c>
      <c r="E120" s="45"/>
      <c r="F120" s="45"/>
      <c r="G120" s="63">
        <f t="shared" si="13"/>
        <v>-4885879.5674629863</v>
      </c>
      <c r="H120" s="67">
        <f t="shared" si="14"/>
        <v>0</v>
      </c>
      <c r="I120" s="68">
        <f t="shared" si="11"/>
        <v>2.0467143862067281E-7</v>
      </c>
      <c r="J120" s="49">
        <f t="shared" si="12"/>
        <v>-4885879.5674629863</v>
      </c>
    </row>
    <row r="121" spans="1:10" ht="13" x14ac:dyDescent="0.25">
      <c r="A121" s="41">
        <v>47362</v>
      </c>
      <c r="B121" s="48">
        <v>0</v>
      </c>
      <c r="C121" s="65">
        <f>Backlog!$D$42*-1</f>
        <v>-80833.333333333343</v>
      </c>
      <c r="D121" s="46">
        <f>Backlog!$K$80*-1</f>
        <v>-30209.3841090073</v>
      </c>
      <c r="E121" s="45"/>
      <c r="F121" s="45"/>
      <c r="G121" s="63">
        <f t="shared" si="13"/>
        <v>-4996922.2849053266</v>
      </c>
      <c r="H121" s="67">
        <f t="shared" si="14"/>
        <v>0</v>
      </c>
      <c r="I121" s="68">
        <f t="shared" si="11"/>
        <v>2.0012318442910232E-7</v>
      </c>
      <c r="J121" s="49">
        <f t="shared" si="12"/>
        <v>-4996922.2849053266</v>
      </c>
    </row>
    <row r="122" spans="1:10" ht="13" x14ac:dyDescent="0.25">
      <c r="A122" s="41">
        <v>47392</v>
      </c>
      <c r="B122" s="48">
        <v>0</v>
      </c>
      <c r="C122" s="65">
        <f>Backlog!$D$42*-1</f>
        <v>-80833.333333333343</v>
      </c>
      <c r="D122" s="46">
        <f>Backlog!$K$80*-1</f>
        <v>-30209.3841090073</v>
      </c>
      <c r="E122" s="45"/>
      <c r="F122" s="45"/>
      <c r="G122" s="63">
        <f t="shared" si="13"/>
        <v>-5107965.0023476668</v>
      </c>
      <c r="H122" s="67">
        <f t="shared" si="14"/>
        <v>0</v>
      </c>
      <c r="I122" s="68">
        <f t="shared" si="11"/>
        <v>1.9577268041977401E-7</v>
      </c>
      <c r="J122" s="49">
        <f t="shared" si="12"/>
        <v>-5107965.0023476668</v>
      </c>
    </row>
    <row r="123" spans="1:10" ht="13" x14ac:dyDescent="0.25">
      <c r="A123" s="41">
        <v>47423</v>
      </c>
      <c r="B123" s="48">
        <v>0</v>
      </c>
      <c r="C123" s="65">
        <f>Backlog!$D$42*-1</f>
        <v>-80833.333333333343</v>
      </c>
      <c r="D123" s="46">
        <f>Backlog!$K$80*-1</f>
        <v>-30209.3841090073</v>
      </c>
      <c r="E123" s="45"/>
      <c r="F123" s="45"/>
      <c r="G123" s="63">
        <f t="shared" si="13"/>
        <v>-5219007.719790007</v>
      </c>
      <c r="H123" s="67">
        <f t="shared" si="14"/>
        <v>0</v>
      </c>
      <c r="I123" s="68">
        <f t="shared" si="11"/>
        <v>1.916073042406299E-7</v>
      </c>
      <c r="J123" s="49">
        <f t="shared" si="12"/>
        <v>-5219007.719790007</v>
      </c>
    </row>
    <row r="124" spans="1:10" ht="13" x14ac:dyDescent="0.25">
      <c r="A124" s="41">
        <v>47453</v>
      </c>
      <c r="B124" s="48">
        <v>0</v>
      </c>
      <c r="C124" s="65">
        <f>Backlog!$D$42*-1</f>
        <v>-80833.333333333343</v>
      </c>
      <c r="D124" s="46">
        <f>Backlog!$K$80*-1</f>
        <v>-30209.3841090073</v>
      </c>
      <c r="E124" s="45"/>
      <c r="F124" s="45"/>
      <c r="G124" s="63">
        <f t="shared" si="13"/>
        <v>-5330050.4372323472</v>
      </c>
      <c r="H124" s="67">
        <f t="shared" si="14"/>
        <v>0</v>
      </c>
      <c r="I124" s="68">
        <f t="shared" si="11"/>
        <v>1.8761548540228346E-7</v>
      </c>
      <c r="J124" s="49">
        <f t="shared" si="12"/>
        <v>-5330050.4372323472</v>
      </c>
    </row>
    <row r="125" spans="1:10" ht="13" x14ac:dyDescent="0.25">
      <c r="A125" s="41">
        <v>47484</v>
      </c>
      <c r="B125" s="48">
        <v>0</v>
      </c>
      <c r="C125" s="65">
        <f>Backlog!$D$42*-1</f>
        <v>-80833.333333333343</v>
      </c>
      <c r="D125" s="46">
        <f>Backlog!$K$80*-1</f>
        <v>-30209.3841090073</v>
      </c>
      <c r="E125" s="45"/>
      <c r="F125" s="45"/>
      <c r="G125" s="63">
        <f t="shared" si="13"/>
        <v>-5441093.1546746874</v>
      </c>
      <c r="H125" s="67">
        <f t="shared" si="14"/>
        <v>0</v>
      </c>
      <c r="I125" s="68">
        <f t="shared" si="11"/>
        <v>1.83786597945094E-7</v>
      </c>
      <c r="J125" s="49">
        <f t="shared" si="12"/>
        <v>-5441093.1546746874</v>
      </c>
    </row>
    <row r="126" spans="1:10" ht="13" x14ac:dyDescent="0.25">
      <c r="A126" s="41">
        <v>47515</v>
      </c>
      <c r="B126" s="48">
        <v>0</v>
      </c>
      <c r="C126" s="65">
        <f>Backlog!$D$42*-1</f>
        <v>-80833.333333333343</v>
      </c>
      <c r="D126" s="46">
        <f>Backlog!$K$80*-1</f>
        <v>-30209.3841090073</v>
      </c>
      <c r="E126" s="45"/>
      <c r="F126" s="45"/>
      <c r="G126" s="63">
        <f t="shared" si="13"/>
        <v>-5552135.8721170276</v>
      </c>
      <c r="H126" s="67">
        <f t="shared" si="14"/>
        <v>0</v>
      </c>
      <c r="I126" s="68">
        <f t="shared" si="11"/>
        <v>1.8011086598619215E-7</v>
      </c>
      <c r="J126" s="49">
        <f t="shared" si="12"/>
        <v>-5552135.8721170276</v>
      </c>
    </row>
    <row r="127" spans="1:10" ht="13" x14ac:dyDescent="0.25">
      <c r="A127" s="41">
        <v>47543</v>
      </c>
      <c r="B127" s="48">
        <v>0</v>
      </c>
      <c r="C127" s="65">
        <f>Backlog!$D$42*-1</f>
        <v>-80833.333333333343</v>
      </c>
      <c r="D127" s="46">
        <f>Backlog!$K$80*-1</f>
        <v>-30209.3841090073</v>
      </c>
      <c r="E127" s="45"/>
      <c r="F127" s="45"/>
      <c r="G127" s="63">
        <f t="shared" si="13"/>
        <v>-5663178.5895593679</v>
      </c>
      <c r="H127" s="67">
        <f t="shared" si="14"/>
        <v>0</v>
      </c>
      <c r="I127" s="68">
        <f t="shared" si="11"/>
        <v>1.7657928037861975E-7</v>
      </c>
      <c r="J127" s="49">
        <f t="shared" si="12"/>
        <v>-5663178.5895593679</v>
      </c>
    </row>
    <row r="128" spans="1:10" ht="13" x14ac:dyDescent="0.25">
      <c r="A128" s="41">
        <v>47574</v>
      </c>
      <c r="B128" s="48">
        <v>0</v>
      </c>
      <c r="C128" s="65">
        <f>Backlog!$D$42*-1</f>
        <v>-80833.333333333343</v>
      </c>
      <c r="D128" s="46">
        <f>Backlog!$K$80*-1</f>
        <v>-30209.3841090073</v>
      </c>
      <c r="E128" s="45"/>
      <c r="F128" s="45"/>
      <c r="G128" s="63">
        <f t="shared" si="13"/>
        <v>-5774221.3070017081</v>
      </c>
      <c r="H128" s="67">
        <f t="shared" si="14"/>
        <v>0</v>
      </c>
      <c r="I128" s="68">
        <f t="shared" si="11"/>
        <v>1.7318352498672323E-7</v>
      </c>
      <c r="J128" s="49">
        <f t="shared" si="12"/>
        <v>-5774221.3070017081</v>
      </c>
    </row>
    <row r="129" spans="1:10" ht="13" x14ac:dyDescent="0.25">
      <c r="A129" s="41">
        <v>47604</v>
      </c>
      <c r="B129" s="48">
        <v>0</v>
      </c>
      <c r="C129" s="65">
        <f>Backlog!$D$42*-1</f>
        <v>-80833.333333333343</v>
      </c>
      <c r="D129" s="46">
        <f>Backlog!$K$80*-1</f>
        <v>-30209.3841090073</v>
      </c>
      <c r="E129" s="45"/>
      <c r="F129" s="45"/>
      <c r="G129" s="63">
        <f t="shared" si="13"/>
        <v>-5885264.0244440483</v>
      </c>
      <c r="H129" s="67">
        <f t="shared" si="14"/>
        <v>0</v>
      </c>
      <c r="I129" s="68">
        <f t="shared" si="11"/>
        <v>1.6991591130772847E-7</v>
      </c>
      <c r="J129" s="49">
        <f t="shared" si="12"/>
        <v>-5885264.0244440483</v>
      </c>
    </row>
    <row r="130" spans="1:10" ht="13" x14ac:dyDescent="0.25">
      <c r="A130" s="41">
        <v>47635</v>
      </c>
      <c r="B130" s="48">
        <v>0</v>
      </c>
      <c r="C130" s="65">
        <f>Backlog!$D$42*-1</f>
        <v>-80833.333333333343</v>
      </c>
      <c r="D130" s="46">
        <f>Backlog!$K$80*-1</f>
        <v>-30209.3841090073</v>
      </c>
      <c r="E130" s="45"/>
      <c r="F130" s="45"/>
      <c r="G130" s="63">
        <f t="shared" si="13"/>
        <v>-5996306.7418863885</v>
      </c>
      <c r="H130" s="67">
        <f t="shared" si="14"/>
        <v>0</v>
      </c>
      <c r="I130" s="68">
        <f t="shared" si="11"/>
        <v>1.6676932035758536E-7</v>
      </c>
      <c r="J130" s="49">
        <f t="shared" si="12"/>
        <v>-5996306.7418863885</v>
      </c>
    </row>
    <row r="131" spans="1:10" ht="13" x14ac:dyDescent="0.25">
      <c r="A131" s="41">
        <v>47665</v>
      </c>
      <c r="B131" s="48">
        <v>0</v>
      </c>
      <c r="C131" s="65">
        <f>Backlog!$D$42*-1</f>
        <v>-80833.333333333343</v>
      </c>
      <c r="D131" s="46">
        <f>Backlog!$K$80*-1</f>
        <v>-30209.3841090073</v>
      </c>
      <c r="E131" s="45"/>
      <c r="F131" s="45"/>
      <c r="G131" s="63">
        <f t="shared" si="13"/>
        <v>-6107349.4593287287</v>
      </c>
      <c r="H131" s="67">
        <f t="shared" si="14"/>
        <v>0</v>
      </c>
      <c r="I131" s="68">
        <f t="shared" si="11"/>
        <v>1.6373715089653836E-7</v>
      </c>
      <c r="J131" s="49">
        <f t="shared" si="12"/>
        <v>-6107349.4593287287</v>
      </c>
    </row>
    <row r="132" spans="1:10" ht="13" x14ac:dyDescent="0.25">
      <c r="A132" s="41">
        <v>47696</v>
      </c>
      <c r="B132" s="48">
        <v>0</v>
      </c>
      <c r="C132" s="65">
        <f>Backlog!$D$42*-1</f>
        <v>-80833.333333333343</v>
      </c>
      <c r="D132" s="46">
        <f>Backlog!$K$80*-1</f>
        <v>-30209.3841090073</v>
      </c>
      <c r="E132" s="45"/>
      <c r="F132" s="45"/>
      <c r="G132" s="63">
        <f t="shared" si="13"/>
        <v>-6218392.1767710689</v>
      </c>
      <c r="H132" s="67">
        <f t="shared" si="14"/>
        <v>0</v>
      </c>
      <c r="I132" s="68">
        <f t="shared" si="11"/>
        <v>1.6081327320195733E-7</v>
      </c>
      <c r="J132" s="49">
        <f t="shared" si="12"/>
        <v>-6218392.1767710689</v>
      </c>
    </row>
    <row r="133" spans="1:10" ht="13" x14ac:dyDescent="0.25">
      <c r="A133" s="41">
        <v>47727</v>
      </c>
      <c r="B133" s="48">
        <v>0</v>
      </c>
      <c r="C133" s="65">
        <f>Backlog!$D$42*-1</f>
        <v>-80833.333333333343</v>
      </c>
      <c r="D133" s="46">
        <f>Backlog!$K$80*-1</f>
        <v>-30209.3841090073</v>
      </c>
      <c r="E133" s="45"/>
      <c r="F133" s="45"/>
      <c r="G133" s="63">
        <f t="shared" si="13"/>
        <v>-6329434.8942134092</v>
      </c>
      <c r="H133" s="67">
        <f t="shared" si="14"/>
        <v>0</v>
      </c>
      <c r="I133" s="68">
        <f t="shared" si="11"/>
        <v>1.5799198770718615E-7</v>
      </c>
      <c r="J133" s="49">
        <f t="shared" si="12"/>
        <v>-6329434.8942134092</v>
      </c>
    </row>
    <row r="134" spans="1:10" ht="13" x14ac:dyDescent="0.25">
      <c r="A134" s="41">
        <v>47757</v>
      </c>
      <c r="B134" s="48">
        <v>0</v>
      </c>
      <c r="C134" s="65">
        <f>Backlog!$D$42*-1</f>
        <v>-80833.333333333343</v>
      </c>
      <c r="D134" s="46">
        <f>Backlog!$K$80*-1</f>
        <v>-30209.3841090073</v>
      </c>
      <c r="E134" s="45"/>
      <c r="F134" s="45"/>
      <c r="G134" s="63">
        <f t="shared" si="13"/>
        <v>-6440477.6116557494</v>
      </c>
      <c r="H134" s="67">
        <f t="shared" si="14"/>
        <v>0</v>
      </c>
      <c r="I134" s="68">
        <f t="shared" si="11"/>
        <v>1.5526798791913122E-7</v>
      </c>
      <c r="J134" s="49">
        <f t="shared" si="12"/>
        <v>-6440477.6116557494</v>
      </c>
    </row>
    <row r="135" spans="1:10" ht="13" x14ac:dyDescent="0.25">
      <c r="A135" s="41">
        <v>47788</v>
      </c>
      <c r="B135" s="48">
        <v>0</v>
      </c>
      <c r="C135" s="65">
        <f>Backlog!$D$42*-1</f>
        <v>-80833.333333333343</v>
      </c>
      <c r="D135" s="46">
        <f>Backlog!$K$80*-1</f>
        <v>-30209.3841090073</v>
      </c>
      <c r="E135" s="45"/>
      <c r="F135" s="45"/>
      <c r="G135" s="63">
        <f t="shared" si="13"/>
        <v>-6551520.3290980896</v>
      </c>
      <c r="H135" s="67">
        <f t="shared" si="14"/>
        <v>0</v>
      </c>
      <c r="I135" s="68">
        <f t="shared" si="11"/>
        <v>1.5263632710694255E-7</v>
      </c>
      <c r="J135" s="49">
        <f t="shared" si="12"/>
        <v>-6551520.3290980896</v>
      </c>
    </row>
    <row r="136" spans="1:10" ht="13" x14ac:dyDescent="0.25">
      <c r="A136" s="41">
        <v>47818</v>
      </c>
      <c r="B136" s="48">
        <v>0</v>
      </c>
      <c r="C136" s="65">
        <f>Backlog!$D$42*-1</f>
        <v>-80833.333333333343</v>
      </c>
      <c r="D136" s="46">
        <f>Backlog!$K$80*-1</f>
        <v>-30209.3841090073</v>
      </c>
      <c r="E136" s="45"/>
      <c r="F136" s="45"/>
      <c r="G136" s="63">
        <f t="shared" si="13"/>
        <v>-6662563.0465404298</v>
      </c>
      <c r="H136" s="67">
        <f t="shared" si="14"/>
        <v>0</v>
      </c>
      <c r="I136" s="68">
        <f t="shared" si="11"/>
        <v>1.5009238832182686E-7</v>
      </c>
      <c r="J136" s="49">
        <f t="shared" si="12"/>
        <v>-6662563.0465404298</v>
      </c>
    </row>
    <row r="137" spans="1:10" ht="13" x14ac:dyDescent="0.25">
      <c r="A137" s="41">
        <v>47849</v>
      </c>
      <c r="B137" s="48">
        <f>F12</f>
        <v>37440</v>
      </c>
      <c r="C137" s="65">
        <f>Backlog!$D$42*-1</f>
        <v>-80833.333333333343</v>
      </c>
      <c r="D137" s="45"/>
      <c r="E137" s="46">
        <f>Backlog!$K$115*-1</f>
        <v>-49506.805214537257</v>
      </c>
      <c r="F137" s="46">
        <f>(C137+E137)*0.15</f>
        <v>-19551.020782180589</v>
      </c>
      <c r="G137" s="63">
        <f>C137+E137+G136+F137</f>
        <v>-6812454.2058704803</v>
      </c>
      <c r="H137" s="67">
        <f t="shared" si="14"/>
        <v>37440</v>
      </c>
      <c r="I137" s="68">
        <f t="shared" si="11"/>
        <v>5.49581675980103E-3</v>
      </c>
      <c r="J137" s="49">
        <f t="shared" si="12"/>
        <v>-6775014.2058704803</v>
      </c>
    </row>
    <row r="138" spans="1:10" ht="13" x14ac:dyDescent="0.25">
      <c r="A138" s="41">
        <v>47880</v>
      </c>
      <c r="B138" s="48">
        <f t="shared" ref="B138:B196" si="15">F13</f>
        <v>41184</v>
      </c>
      <c r="C138" s="65">
        <f>Backlog!$D$42*-1</f>
        <v>-80833.333333333343</v>
      </c>
      <c r="D138" s="45"/>
      <c r="E138" s="46">
        <f>Backlog!$K$115*-1</f>
        <v>-49506.805214537257</v>
      </c>
      <c r="F138" s="46">
        <f t="shared" ref="F138:F196" si="16">(C138+E138)*0.15</f>
        <v>-19551.020782180589</v>
      </c>
      <c r="G138" s="63">
        <f t="shared" ref="G138:G196" si="17">C138+E138+G137+F138</f>
        <v>-6962345.3652005307</v>
      </c>
      <c r="H138" s="67">
        <f t="shared" si="14"/>
        <v>78624</v>
      </c>
      <c r="I138" s="68">
        <f t="shared" si="11"/>
        <v>1.1292746319793554E-2</v>
      </c>
      <c r="J138" s="49">
        <f t="shared" si="12"/>
        <v>-6883721.3652005307</v>
      </c>
    </row>
    <row r="139" spans="1:10" ht="13" x14ac:dyDescent="0.25">
      <c r="A139" s="41">
        <v>47908</v>
      </c>
      <c r="B139" s="48">
        <f t="shared" si="15"/>
        <v>45302.400000000001</v>
      </c>
      <c r="C139" s="65">
        <f>Backlog!$D$42*-1</f>
        <v>-80833.333333333343</v>
      </c>
      <c r="D139" s="45"/>
      <c r="E139" s="46">
        <f>Backlog!$K$115*-1</f>
        <v>-49506.805214537257</v>
      </c>
      <c r="F139" s="46">
        <f t="shared" si="16"/>
        <v>-19551.020782180589</v>
      </c>
      <c r="G139" s="63">
        <f t="shared" si="17"/>
        <v>-7112236.5245305812</v>
      </c>
      <c r="H139" s="67">
        <f t="shared" si="14"/>
        <v>123926.39999999999</v>
      </c>
      <c r="I139" s="68">
        <f t="shared" si="11"/>
        <v>1.7424392393668227E-2</v>
      </c>
      <c r="J139" s="49">
        <f t="shared" si="12"/>
        <v>-6988310.1245305808</v>
      </c>
    </row>
    <row r="140" spans="1:10" ht="13" x14ac:dyDescent="0.25">
      <c r="A140" s="41">
        <v>47939</v>
      </c>
      <c r="B140" s="48">
        <f t="shared" si="15"/>
        <v>49832.639999999999</v>
      </c>
      <c r="C140" s="65">
        <f>Backlog!$D$42*-1</f>
        <v>-80833.333333333343</v>
      </c>
      <c r="D140" s="45"/>
      <c r="E140" s="46">
        <f>Backlog!$K$115*-1</f>
        <v>-49506.805214537257</v>
      </c>
      <c r="F140" s="46">
        <f t="shared" si="16"/>
        <v>-19551.020782180589</v>
      </c>
      <c r="G140" s="63">
        <f t="shared" si="17"/>
        <v>-7262127.6838606317</v>
      </c>
      <c r="H140" s="67">
        <f t="shared" si="14"/>
        <v>173759.03999999998</v>
      </c>
      <c r="I140" s="68">
        <f t="shared" si="11"/>
        <v>2.3926739870763006E-2</v>
      </c>
      <c r="J140" s="49">
        <f t="shared" si="12"/>
        <v>-7088368.6438606316</v>
      </c>
    </row>
    <row r="141" spans="1:10" ht="13" x14ac:dyDescent="0.25">
      <c r="A141" s="41">
        <v>47969</v>
      </c>
      <c r="B141" s="48">
        <f t="shared" si="15"/>
        <v>54818.304000000004</v>
      </c>
      <c r="C141" s="65">
        <f>Backlog!$D$42*-1</f>
        <v>-80833.333333333343</v>
      </c>
      <c r="D141" s="45"/>
      <c r="E141" s="46">
        <f>Backlog!$K$115*-1</f>
        <v>-49506.805214537257</v>
      </c>
      <c r="F141" s="46">
        <f t="shared" si="16"/>
        <v>-19551.020782180589</v>
      </c>
      <c r="G141" s="63">
        <f t="shared" si="17"/>
        <v>-7412018.8431906821</v>
      </c>
      <c r="H141" s="67">
        <f t="shared" si="14"/>
        <v>228577.34399999998</v>
      </c>
      <c r="I141" s="68">
        <f t="shared" si="11"/>
        <v>3.0838742970815677E-2</v>
      </c>
      <c r="J141" s="49">
        <f t="shared" si="12"/>
        <v>-7183441.4991906825</v>
      </c>
    </row>
    <row r="142" spans="1:10" ht="13" x14ac:dyDescent="0.25">
      <c r="A142" s="41">
        <v>48000</v>
      </c>
      <c r="B142" s="48">
        <f t="shared" si="15"/>
        <v>60300.134400000003</v>
      </c>
      <c r="C142" s="65">
        <f>Backlog!$D$42*-1</f>
        <v>-80833.333333333343</v>
      </c>
      <c r="D142" s="45"/>
      <c r="E142" s="46">
        <f>Backlog!$K$115*-1</f>
        <v>-49506.805214537257</v>
      </c>
      <c r="F142" s="46">
        <f t="shared" si="16"/>
        <v>-19551.020782180589</v>
      </c>
      <c r="G142" s="63">
        <f t="shared" si="17"/>
        <v>-7561910.0025207326</v>
      </c>
      <c r="H142" s="67">
        <f t="shared" si="14"/>
        <v>288877.47839999996</v>
      </c>
      <c r="I142" s="68">
        <f t="shared" ref="I142:I196" si="18">(IF(H142=0,1,H142)/G142)*-1</f>
        <v>3.8201655177554854E-2</v>
      </c>
      <c r="J142" s="49">
        <f t="shared" ref="J142:J196" si="19">G142+H142</f>
        <v>-7273032.5241207322</v>
      </c>
    </row>
    <row r="143" spans="1:10" ht="13" x14ac:dyDescent="0.25">
      <c r="A143" s="41">
        <v>48030</v>
      </c>
      <c r="B143" s="48">
        <f t="shared" si="15"/>
        <v>66328.047839999999</v>
      </c>
      <c r="C143" s="65">
        <f>Backlog!$D$42*-1</f>
        <v>-80833.333333333343</v>
      </c>
      <c r="D143" s="45"/>
      <c r="E143" s="46">
        <f>Backlog!$K$115*-1</f>
        <v>-49506.805214537257</v>
      </c>
      <c r="F143" s="46">
        <f t="shared" si="16"/>
        <v>-19551.020782180589</v>
      </c>
      <c r="G143" s="63">
        <f t="shared" si="17"/>
        <v>-7711801.161850783</v>
      </c>
      <c r="H143" s="67">
        <f t="shared" ref="H143:H196" si="20">B143+H142</f>
        <v>355205.52623999998</v>
      </c>
      <c r="I143" s="68">
        <f t="shared" si="18"/>
        <v>4.6059995425861436E-2</v>
      </c>
      <c r="J143" s="49">
        <f t="shared" si="19"/>
        <v>-7356595.6356107835</v>
      </c>
    </row>
    <row r="144" spans="1:10" ht="13" x14ac:dyDescent="0.25">
      <c r="A144" s="41">
        <v>48061</v>
      </c>
      <c r="B144" s="48">
        <f t="shared" si="15"/>
        <v>72961.152623999995</v>
      </c>
      <c r="C144" s="65">
        <f>Backlog!$D$42*-1</f>
        <v>-80833.333333333343</v>
      </c>
      <c r="D144" s="45"/>
      <c r="E144" s="46">
        <f>Backlog!$K$115*-1</f>
        <v>-49506.805214537257</v>
      </c>
      <c r="F144" s="46">
        <f t="shared" si="16"/>
        <v>-19551.020782180589</v>
      </c>
      <c r="G144" s="63">
        <f t="shared" si="17"/>
        <v>-7861692.3211808335</v>
      </c>
      <c r="H144" s="67">
        <f t="shared" si="20"/>
        <v>428166.67886399996</v>
      </c>
      <c r="I144" s="68">
        <f t="shared" si="18"/>
        <v>5.4462405977201728E-2</v>
      </c>
      <c r="J144" s="49">
        <f t="shared" si="19"/>
        <v>-7433525.6423168331</v>
      </c>
    </row>
    <row r="145" spans="1:10" ht="13" x14ac:dyDescent="0.25">
      <c r="A145" s="41">
        <v>48092</v>
      </c>
      <c r="B145" s="48">
        <f t="shared" si="15"/>
        <v>80258.767886400004</v>
      </c>
      <c r="C145" s="65">
        <f>Backlog!$D$42*-1</f>
        <v>-80833.333333333343</v>
      </c>
      <c r="D145" s="45"/>
      <c r="E145" s="46">
        <f>Backlog!$K$115*-1</f>
        <v>-49506.805214537257</v>
      </c>
      <c r="F145" s="46">
        <f t="shared" si="16"/>
        <v>-19551.020782180589</v>
      </c>
      <c r="G145" s="63">
        <f t="shared" si="17"/>
        <v>-8011583.480510884</v>
      </c>
      <c r="H145" s="67">
        <f t="shared" si="20"/>
        <v>508425.44675039995</v>
      </c>
      <c r="I145" s="68">
        <f t="shared" si="18"/>
        <v>6.3461293012449349E-2</v>
      </c>
      <c r="J145" s="49">
        <f t="shared" si="19"/>
        <v>-7503158.0337604843</v>
      </c>
    </row>
    <row r="146" spans="1:10" ht="13" x14ac:dyDescent="0.25">
      <c r="A146" s="41">
        <v>48122</v>
      </c>
      <c r="B146" s="48">
        <f t="shared" si="15"/>
        <v>88283.444675039995</v>
      </c>
      <c r="C146" s="65">
        <f>Backlog!$D$42*-1</f>
        <v>-80833.333333333343</v>
      </c>
      <c r="D146" s="45"/>
      <c r="E146" s="46">
        <f>Backlog!$K$115*-1</f>
        <v>-49506.805214537257</v>
      </c>
      <c r="F146" s="46">
        <f t="shared" si="16"/>
        <v>-19551.020782180589</v>
      </c>
      <c r="G146" s="63">
        <f t="shared" si="17"/>
        <v>-8161474.6398409344</v>
      </c>
      <c r="H146" s="67">
        <f t="shared" si="20"/>
        <v>596708.89142543997</v>
      </c>
      <c r="I146" s="68">
        <f t="shared" si="18"/>
        <v>7.3112876993154483E-2</v>
      </c>
      <c r="J146" s="49">
        <f t="shared" si="19"/>
        <v>-7564765.7484154943</v>
      </c>
    </row>
    <row r="147" spans="1:10" ht="13" x14ac:dyDescent="0.25">
      <c r="A147" s="41">
        <v>48153</v>
      </c>
      <c r="B147" s="48">
        <f t="shared" si="15"/>
        <v>97109.989142544</v>
      </c>
      <c r="C147" s="65">
        <f>Backlog!$D$42*-1</f>
        <v>-80833.333333333343</v>
      </c>
      <c r="D147" s="45"/>
      <c r="E147" s="46">
        <f>Backlog!$K$115*-1</f>
        <v>-49506.805214537257</v>
      </c>
      <c r="F147" s="46">
        <f t="shared" si="16"/>
        <v>-19551.020782180589</v>
      </c>
      <c r="G147" s="63">
        <f t="shared" si="17"/>
        <v>-8311365.7991709849</v>
      </c>
      <c r="H147" s="67">
        <f t="shared" si="20"/>
        <v>693818.88056798396</v>
      </c>
      <c r="I147" s="68">
        <f t="shared" si="18"/>
        <v>8.347832321821147E-2</v>
      </c>
      <c r="J147" s="49">
        <f t="shared" si="19"/>
        <v>-7617546.9186030012</v>
      </c>
    </row>
    <row r="148" spans="1:10" ht="13" x14ac:dyDescent="0.25">
      <c r="A148" s="41">
        <v>48183</v>
      </c>
      <c r="B148" s="48">
        <f t="shared" si="15"/>
        <v>106822.48805679841</v>
      </c>
      <c r="C148" s="65">
        <f>Backlog!$D$42*-1</f>
        <v>-80833.333333333343</v>
      </c>
      <c r="D148" s="45"/>
      <c r="E148" s="46">
        <f>Backlog!$K$115*-1</f>
        <v>-49506.805214537257</v>
      </c>
      <c r="F148" s="46">
        <f t="shared" si="16"/>
        <v>-19551.020782180589</v>
      </c>
      <c r="G148" s="63">
        <f t="shared" si="17"/>
        <v>-8461256.9585010353</v>
      </c>
      <c r="H148" s="67">
        <f t="shared" si="20"/>
        <v>800641.36862478242</v>
      </c>
      <c r="I148" s="68">
        <f t="shared" si="18"/>
        <v>9.4624400671389261E-2</v>
      </c>
      <c r="J148" s="49">
        <f t="shared" si="19"/>
        <v>-7660615.5898762532</v>
      </c>
    </row>
    <row r="149" spans="1:10" ht="13" x14ac:dyDescent="0.25">
      <c r="A149" s="41">
        <v>48214</v>
      </c>
      <c r="B149" s="48">
        <f t="shared" si="15"/>
        <v>117505.33686247825</v>
      </c>
      <c r="C149" s="65">
        <f>Backlog!$D$42*-1</f>
        <v>-80833.333333333343</v>
      </c>
      <c r="D149" s="45"/>
      <c r="E149" s="46">
        <f>Backlog!$K$115*-1</f>
        <v>-49506.805214537257</v>
      </c>
      <c r="F149" s="46">
        <f t="shared" si="16"/>
        <v>-19551.020782180589</v>
      </c>
      <c r="G149" s="63">
        <f t="shared" si="17"/>
        <v>-8611148.1178310867</v>
      </c>
      <c r="H149" s="67">
        <f t="shared" si="20"/>
        <v>918146.70548726071</v>
      </c>
      <c r="I149" s="68">
        <f t="shared" si="18"/>
        <v>0.10662303016087439</v>
      </c>
      <c r="J149" s="49">
        <f t="shared" si="19"/>
        <v>-7693001.4123438261</v>
      </c>
    </row>
    <row r="150" spans="1:10" ht="13" x14ac:dyDescent="0.25">
      <c r="A150" s="41">
        <v>48245</v>
      </c>
      <c r="B150" s="48">
        <f t="shared" si="15"/>
        <v>129255.27054872607</v>
      </c>
      <c r="C150" s="65">
        <f>Backlog!$D$42*-1</f>
        <v>-80833.333333333343</v>
      </c>
      <c r="D150" s="45"/>
      <c r="E150" s="46">
        <f>Backlog!$K$115*-1</f>
        <v>-49506.805214537257</v>
      </c>
      <c r="F150" s="46">
        <f t="shared" si="16"/>
        <v>-19551.020782180589</v>
      </c>
      <c r="G150" s="63">
        <f t="shared" si="17"/>
        <v>-8761039.2771611381</v>
      </c>
      <c r="H150" s="67">
        <f t="shared" si="20"/>
        <v>1047401.9760359868</v>
      </c>
      <c r="I150" s="68">
        <f t="shared" si="18"/>
        <v>0.11955225206744868</v>
      </c>
      <c r="J150" s="49">
        <f t="shared" si="19"/>
        <v>-7713637.3011251511</v>
      </c>
    </row>
    <row r="151" spans="1:10" ht="13" x14ac:dyDescent="0.25">
      <c r="A151" s="41">
        <v>48274</v>
      </c>
      <c r="B151" s="48">
        <f t="shared" si="15"/>
        <v>142178.39760359869</v>
      </c>
      <c r="C151" s="65">
        <f>Backlog!$D$42*-1</f>
        <v>-80833.333333333343</v>
      </c>
      <c r="D151" s="45"/>
      <c r="E151" s="46">
        <f>Backlog!$K$115*-1</f>
        <v>-49506.805214537257</v>
      </c>
      <c r="F151" s="46">
        <f t="shared" si="16"/>
        <v>-19551.020782180589</v>
      </c>
      <c r="G151" s="63">
        <f t="shared" si="17"/>
        <v>-8910930.4364911895</v>
      </c>
      <c r="H151" s="67">
        <f t="shared" si="20"/>
        <v>1189580.3736395855</v>
      </c>
      <c r="I151" s="68">
        <f t="shared" si="18"/>
        <v>0.13349676356670115</v>
      </c>
      <c r="J151" s="49">
        <f t="shared" si="19"/>
        <v>-7721350.0628516041</v>
      </c>
    </row>
    <row r="152" spans="1:10" ht="13" x14ac:dyDescent="0.25">
      <c r="A152" s="41">
        <v>48305</v>
      </c>
      <c r="B152" s="48">
        <f t="shared" si="15"/>
        <v>156396.23736395856</v>
      </c>
      <c r="C152" s="65">
        <f>Backlog!$D$42*-1</f>
        <v>-80833.333333333343</v>
      </c>
      <c r="D152" s="45"/>
      <c r="E152" s="46">
        <f>Backlog!$K$115*-1</f>
        <v>-49506.805214537257</v>
      </c>
      <c r="F152" s="46">
        <f t="shared" si="16"/>
        <v>-19551.020782180589</v>
      </c>
      <c r="G152" s="63">
        <f t="shared" si="17"/>
        <v>-9060821.5958212409</v>
      </c>
      <c r="H152" s="67">
        <f t="shared" si="20"/>
        <v>1345976.6110035439</v>
      </c>
      <c r="I152" s="68">
        <f t="shared" si="18"/>
        <v>0.14854906884208985</v>
      </c>
      <c r="J152" s="49">
        <f t="shared" si="19"/>
        <v>-7714844.9848176967</v>
      </c>
    </row>
    <row r="153" spans="1:10" ht="13" x14ac:dyDescent="0.25">
      <c r="A153" s="41">
        <v>48335</v>
      </c>
      <c r="B153" s="48">
        <f t="shared" si="15"/>
        <v>172036.7611003544</v>
      </c>
      <c r="C153" s="65">
        <f>Backlog!$D$42*-1</f>
        <v>-80833.333333333343</v>
      </c>
      <c r="D153" s="45"/>
      <c r="E153" s="46">
        <f>Backlog!$K$115*-1</f>
        <v>-49506.805214537257</v>
      </c>
      <c r="F153" s="46">
        <f t="shared" si="16"/>
        <v>-19551.020782180589</v>
      </c>
      <c r="G153" s="63">
        <f t="shared" si="17"/>
        <v>-9210712.7551512923</v>
      </c>
      <c r="H153" s="67">
        <f t="shared" si="20"/>
        <v>1518013.3721038983</v>
      </c>
      <c r="I153" s="68">
        <f t="shared" si="18"/>
        <v>0.16480954432705722</v>
      </c>
      <c r="J153" s="49">
        <f t="shared" si="19"/>
        <v>-7692699.3830473945</v>
      </c>
    </row>
    <row r="154" spans="1:10" ht="13" x14ac:dyDescent="0.25">
      <c r="A154" s="41">
        <v>48366</v>
      </c>
      <c r="B154" s="48">
        <f t="shared" si="15"/>
        <v>189240.43721038985</v>
      </c>
      <c r="C154" s="65">
        <f>Backlog!$D$42*-1</f>
        <v>-80833.333333333343</v>
      </c>
      <c r="D154" s="45"/>
      <c r="E154" s="46">
        <f>Backlog!$K$115*-1</f>
        <v>-49506.805214537257</v>
      </c>
      <c r="F154" s="46">
        <f t="shared" si="16"/>
        <v>-19551.020782180589</v>
      </c>
      <c r="G154" s="63">
        <f t="shared" si="17"/>
        <v>-9360603.9144813437</v>
      </c>
      <c r="H154" s="67">
        <f t="shared" si="20"/>
        <v>1707253.8093142882</v>
      </c>
      <c r="I154" s="68">
        <f t="shared" si="18"/>
        <v>0.18238714349114563</v>
      </c>
      <c r="J154" s="49">
        <f t="shared" si="19"/>
        <v>-7653350.1051670555</v>
      </c>
    </row>
    <row r="155" spans="1:10" ht="13" x14ac:dyDescent="0.25">
      <c r="A155" s="41">
        <v>48396</v>
      </c>
      <c r="B155" s="48">
        <f t="shared" si="15"/>
        <v>208166.28093142883</v>
      </c>
      <c r="C155" s="65">
        <f>Backlog!$D$42*-1</f>
        <v>-80833.333333333343</v>
      </c>
      <c r="D155" s="45"/>
      <c r="E155" s="46">
        <f>Backlog!$K$115*-1</f>
        <v>-49506.805214537257</v>
      </c>
      <c r="F155" s="46">
        <f t="shared" si="16"/>
        <v>-19551.020782180589</v>
      </c>
      <c r="G155" s="63">
        <f t="shared" si="17"/>
        <v>-9510495.0738113951</v>
      </c>
      <c r="H155" s="67">
        <f t="shared" si="20"/>
        <v>1915420.090245717</v>
      </c>
      <c r="I155" s="68">
        <f t="shared" si="18"/>
        <v>0.20140067108810344</v>
      </c>
      <c r="J155" s="49">
        <f t="shared" si="19"/>
        <v>-7595074.9835656779</v>
      </c>
    </row>
    <row r="156" spans="1:10" ht="13" x14ac:dyDescent="0.25">
      <c r="A156" s="41">
        <v>48427</v>
      </c>
      <c r="B156" s="48">
        <f t="shared" si="15"/>
        <v>228979.90902457171</v>
      </c>
      <c r="C156" s="65">
        <f>Backlog!$D$42*-1</f>
        <v>-80833.333333333343</v>
      </c>
      <c r="D156" s="45"/>
      <c r="E156" s="46">
        <f>Backlog!$K$115*-1</f>
        <v>-49506.805214537257</v>
      </c>
      <c r="F156" s="46">
        <f t="shared" si="16"/>
        <v>-19551.020782180589</v>
      </c>
      <c r="G156" s="63">
        <f t="shared" si="17"/>
        <v>-9660386.2331414465</v>
      </c>
      <c r="H156" s="67">
        <f t="shared" si="20"/>
        <v>2144399.9992702887</v>
      </c>
      <c r="I156" s="68">
        <f t="shared" si="18"/>
        <v>0.22197870225039176</v>
      </c>
      <c r="J156" s="49">
        <f t="shared" si="19"/>
        <v>-7515986.2338711582</v>
      </c>
    </row>
    <row r="157" spans="1:10" ht="13" x14ac:dyDescent="0.25">
      <c r="A157" s="41">
        <v>48458</v>
      </c>
      <c r="B157" s="48">
        <f t="shared" si="15"/>
        <v>251877.59992702887</v>
      </c>
      <c r="C157" s="65">
        <f>Backlog!$D$42*-1</f>
        <v>-80833.333333333343</v>
      </c>
      <c r="D157" s="45"/>
      <c r="E157" s="46">
        <f>Backlog!$K$115*-1</f>
        <v>-49506.805214537257</v>
      </c>
      <c r="F157" s="46">
        <f t="shared" si="16"/>
        <v>-19551.020782180589</v>
      </c>
      <c r="G157" s="63">
        <f t="shared" si="17"/>
        <v>-9810277.3924714979</v>
      </c>
      <c r="H157" s="67">
        <f t="shared" si="20"/>
        <v>2396277.5991973178</v>
      </c>
      <c r="I157" s="68">
        <f t="shared" si="18"/>
        <v>0.24426196154618876</v>
      </c>
      <c r="J157" s="49">
        <f t="shared" si="19"/>
        <v>-7413999.79327418</v>
      </c>
    </row>
    <row r="158" spans="1:10" ht="13" x14ac:dyDescent="0.25">
      <c r="A158" s="41">
        <v>48488</v>
      </c>
      <c r="B158" s="48">
        <f t="shared" si="15"/>
        <v>277065.35991973174</v>
      </c>
      <c r="C158" s="65">
        <f>Backlog!$D$42*-1</f>
        <v>-80833.333333333343</v>
      </c>
      <c r="D158" s="45"/>
      <c r="E158" s="46">
        <f>Backlog!$K$115*-1</f>
        <v>-49506.805214537257</v>
      </c>
      <c r="F158" s="46">
        <f t="shared" si="16"/>
        <v>-19551.020782180589</v>
      </c>
      <c r="G158" s="63">
        <f t="shared" si="17"/>
        <v>-9960168.5518015493</v>
      </c>
      <c r="H158" s="67">
        <f t="shared" si="20"/>
        <v>2673342.9591170494</v>
      </c>
      <c r="I158" s="68">
        <f t="shared" si="18"/>
        <v>0.26840338546615333</v>
      </c>
      <c r="J158" s="49">
        <f t="shared" si="19"/>
        <v>-7286825.5926844999</v>
      </c>
    </row>
    <row r="159" spans="1:10" ht="13" x14ac:dyDescent="0.25">
      <c r="A159" s="41">
        <v>48519</v>
      </c>
      <c r="B159" s="48">
        <f t="shared" si="15"/>
        <v>304773.99591170496</v>
      </c>
      <c r="C159" s="65">
        <f>Backlog!$D$42*-1</f>
        <v>-80833.333333333343</v>
      </c>
      <c r="D159" s="45"/>
      <c r="E159" s="46">
        <f>Backlog!$K$115*-1</f>
        <v>-49506.805214537257</v>
      </c>
      <c r="F159" s="46">
        <f t="shared" si="16"/>
        <v>-19551.020782180589</v>
      </c>
      <c r="G159" s="63">
        <f t="shared" si="17"/>
        <v>-10110059.711131601</v>
      </c>
      <c r="H159" s="67">
        <f t="shared" si="20"/>
        <v>2978116.9550287542</v>
      </c>
      <c r="I159" s="68">
        <f t="shared" si="18"/>
        <v>0.29456967022160335</v>
      </c>
      <c r="J159" s="182">
        <f t="shared" si="19"/>
        <v>-7131942.7561028469</v>
      </c>
    </row>
    <row r="160" spans="1:10" ht="13" x14ac:dyDescent="0.25">
      <c r="A160" s="41">
        <v>48549</v>
      </c>
      <c r="B160" s="48">
        <f t="shared" si="15"/>
        <v>335250.19550287543</v>
      </c>
      <c r="C160" s="65">
        <f>Backlog!$D$42*-1</f>
        <v>-80833.333333333343</v>
      </c>
      <c r="D160" s="45"/>
      <c r="E160" s="46">
        <f>Backlog!$K$115*-1</f>
        <v>-49506.805214537257</v>
      </c>
      <c r="F160" s="46">
        <f t="shared" si="16"/>
        <v>-19551.020782180589</v>
      </c>
      <c r="G160" s="63">
        <f t="shared" si="17"/>
        <v>-10259950.870461652</v>
      </c>
      <c r="H160" s="67">
        <f t="shared" si="20"/>
        <v>3313367.1505316296</v>
      </c>
      <c r="I160" s="68">
        <f t="shared" si="18"/>
        <v>0.32294181447503784</v>
      </c>
      <c r="J160" s="49">
        <f t="shared" si="19"/>
        <v>-6946583.719930023</v>
      </c>
    </row>
    <row r="161" spans="1:10" ht="13" x14ac:dyDescent="0.25">
      <c r="A161" s="41">
        <v>48580</v>
      </c>
      <c r="B161" s="48">
        <f t="shared" si="15"/>
        <v>368774.61505316297</v>
      </c>
      <c r="C161" s="65">
        <f>Backlog!$D$42*-1</f>
        <v>-80833.333333333343</v>
      </c>
      <c r="D161" s="45"/>
      <c r="E161" s="46">
        <f>Backlog!$K$115*-1</f>
        <v>-49506.805214537257</v>
      </c>
      <c r="F161" s="46">
        <f t="shared" si="16"/>
        <v>-19551.020782180589</v>
      </c>
      <c r="G161" s="63">
        <f t="shared" si="17"/>
        <v>-10409842.029791703</v>
      </c>
      <c r="H161" s="67">
        <f t="shared" si="20"/>
        <v>3682141.7655847925</v>
      </c>
      <c r="I161" s="68">
        <f t="shared" si="18"/>
        <v>0.35371735277509014</v>
      </c>
      <c r="J161" s="49">
        <f t="shared" si="19"/>
        <v>-6727700.2642069105</v>
      </c>
    </row>
    <row r="162" spans="1:10" ht="13" x14ac:dyDescent="0.25">
      <c r="A162" s="41">
        <v>48611</v>
      </c>
      <c r="B162" s="48">
        <f t="shared" si="15"/>
        <v>405652.97655847931</v>
      </c>
      <c r="C162" s="65">
        <f>Backlog!$D$42*-1</f>
        <v>-80833.333333333343</v>
      </c>
      <c r="D162" s="45"/>
      <c r="E162" s="46">
        <f>Backlog!$K$115*-1</f>
        <v>-49506.805214537257</v>
      </c>
      <c r="F162" s="46">
        <f t="shared" si="16"/>
        <v>-19551.020782180589</v>
      </c>
      <c r="G162" s="63">
        <f t="shared" si="17"/>
        <v>-10559733.189121755</v>
      </c>
      <c r="H162" s="67">
        <f t="shared" si="20"/>
        <v>4087794.742143272</v>
      </c>
      <c r="I162" s="68">
        <f t="shared" si="18"/>
        <v>0.38711155565505823</v>
      </c>
      <c r="J162" s="49">
        <f t="shared" si="19"/>
        <v>-6471938.4469784833</v>
      </c>
    </row>
    <row r="163" spans="1:10" ht="13" x14ac:dyDescent="0.25">
      <c r="A163" s="41">
        <v>48639</v>
      </c>
      <c r="B163" s="48">
        <f t="shared" si="15"/>
        <v>446219.17421432718</v>
      </c>
      <c r="C163" s="65">
        <f>Backlog!$D$42*-1</f>
        <v>-80833.333333333343</v>
      </c>
      <c r="D163" s="45"/>
      <c r="E163" s="46">
        <f>Backlog!$K$115*-1</f>
        <v>-49506.805214537257</v>
      </c>
      <c r="F163" s="46">
        <f t="shared" si="16"/>
        <v>-19551.020782180589</v>
      </c>
      <c r="G163" s="63">
        <f t="shared" si="17"/>
        <v>-10709624.348451806</v>
      </c>
      <c r="H163" s="67">
        <f t="shared" si="20"/>
        <v>4534013.9163575992</v>
      </c>
      <c r="I163" s="68">
        <f t="shared" si="18"/>
        <v>0.42335881902459449</v>
      </c>
      <c r="J163" s="49">
        <f t="shared" si="19"/>
        <v>-6175610.432094207</v>
      </c>
    </row>
    <row r="164" spans="1:10" ht="13" x14ac:dyDescent="0.25">
      <c r="A164" s="41">
        <v>48670</v>
      </c>
      <c r="B164" s="48">
        <f t="shared" si="15"/>
        <v>490838.39163575997</v>
      </c>
      <c r="C164" s="65">
        <f>Backlog!$D$42*-1</f>
        <v>-80833.333333333343</v>
      </c>
      <c r="D164" s="45"/>
      <c r="E164" s="46">
        <f>Backlog!$K$115*-1</f>
        <v>-49506.805214537257</v>
      </c>
      <c r="F164" s="46">
        <f t="shared" si="16"/>
        <v>-19551.020782180589</v>
      </c>
      <c r="G164" s="63">
        <f t="shared" si="17"/>
        <v>-10859515.507781858</v>
      </c>
      <c r="H164" s="67">
        <f t="shared" si="20"/>
        <v>5024852.3079933589</v>
      </c>
      <c r="I164" s="68">
        <f t="shared" si="18"/>
        <v>0.462714225546488</v>
      </c>
      <c r="J164" s="49">
        <f t="shared" si="19"/>
        <v>-5834663.1997884987</v>
      </c>
    </row>
    <row r="165" spans="1:10" ht="13" x14ac:dyDescent="0.25">
      <c r="A165" s="41">
        <v>48700</v>
      </c>
      <c r="B165" s="48">
        <f t="shared" si="15"/>
        <v>539922.23079933599</v>
      </c>
      <c r="C165" s="65">
        <f>Backlog!$D$42*-1</f>
        <v>-80833.333333333343</v>
      </c>
      <c r="D165" s="45"/>
      <c r="E165" s="46">
        <f>Backlog!$K$115*-1</f>
        <v>-49506.805214537257</v>
      </c>
      <c r="F165" s="46">
        <f t="shared" si="16"/>
        <v>-19551.020782180589</v>
      </c>
      <c r="G165" s="63">
        <f t="shared" si="17"/>
        <v>-11009406.667111909</v>
      </c>
      <c r="H165" s="67">
        <f t="shared" si="20"/>
        <v>5564774.5387926949</v>
      </c>
      <c r="I165" s="68">
        <f t="shared" si="18"/>
        <v>0.50545635264942923</v>
      </c>
      <c r="J165" s="49">
        <f t="shared" si="19"/>
        <v>-5444632.1283192141</v>
      </c>
    </row>
    <row r="166" spans="1:10" ht="13" x14ac:dyDescent="0.25">
      <c r="A166" s="41">
        <v>48731</v>
      </c>
      <c r="B166" s="48">
        <f t="shared" si="15"/>
        <v>593916.85387926956</v>
      </c>
      <c r="C166" s="65">
        <f>Backlog!$D$42*-1</f>
        <v>-80833.333333333343</v>
      </c>
      <c r="D166" s="45"/>
      <c r="E166" s="46">
        <f>Backlog!$K$115*-1</f>
        <v>-49506.805214537257</v>
      </c>
      <c r="F166" s="46">
        <f t="shared" si="16"/>
        <v>-19551.020782180589</v>
      </c>
      <c r="G166" s="63">
        <f t="shared" si="17"/>
        <v>-11159297.82644196</v>
      </c>
      <c r="H166" s="67">
        <f t="shared" si="20"/>
        <v>6158691.3926719641</v>
      </c>
      <c r="I166" s="68">
        <f t="shared" si="18"/>
        <v>0.55188879161186488</v>
      </c>
      <c r="J166" s="49">
        <f t="shared" si="19"/>
        <v>-5000606.4337699963</v>
      </c>
    </row>
    <row r="167" spans="1:10" ht="13" x14ac:dyDescent="0.25">
      <c r="A167" s="41">
        <v>48761</v>
      </c>
      <c r="B167" s="48">
        <f t="shared" si="15"/>
        <v>653306.13926719653</v>
      </c>
      <c r="C167" s="65">
        <f>Backlog!$D$42*-1</f>
        <v>-80833.333333333343</v>
      </c>
      <c r="D167" s="45"/>
      <c r="E167" s="46">
        <f>Backlog!$K$115*-1</f>
        <v>-49506.805214537257</v>
      </c>
      <c r="F167" s="46">
        <f t="shared" si="16"/>
        <v>-19551.020782180589</v>
      </c>
      <c r="G167" s="63">
        <f t="shared" si="17"/>
        <v>-11309188.985772012</v>
      </c>
      <c r="H167" s="67">
        <f t="shared" si="20"/>
        <v>6811997.531939161</v>
      </c>
      <c r="I167" s="68">
        <f t="shared" si="18"/>
        <v>0.60234182490975019</v>
      </c>
      <c r="J167" s="49">
        <f t="shared" si="19"/>
        <v>-4497191.4538328508</v>
      </c>
    </row>
    <row r="168" spans="1:10" ht="13" x14ac:dyDescent="0.25">
      <c r="A168" s="41">
        <v>48792</v>
      </c>
      <c r="B168" s="48">
        <f t="shared" si="15"/>
        <v>718638.85319391615</v>
      </c>
      <c r="C168" s="65">
        <f>Backlog!$D$42*-1</f>
        <v>-80833.333333333343</v>
      </c>
      <c r="D168" s="45"/>
      <c r="E168" s="46">
        <f>Backlog!$K$115*-1</f>
        <v>-49506.805214537257</v>
      </c>
      <c r="F168" s="46">
        <f t="shared" si="16"/>
        <v>-19551.020782180589</v>
      </c>
      <c r="G168" s="63">
        <f t="shared" si="17"/>
        <v>-11459080.145102063</v>
      </c>
      <c r="H168" s="67">
        <f t="shared" si="20"/>
        <v>7530636.3851330774</v>
      </c>
      <c r="I168" s="68">
        <f t="shared" si="18"/>
        <v>0.65717634310742523</v>
      </c>
      <c r="J168" s="49">
        <f t="shared" si="19"/>
        <v>-3928443.7599689858</v>
      </c>
    </row>
    <row r="169" spans="1:10" ht="13" x14ac:dyDescent="0.25">
      <c r="A169" s="41">
        <v>48823</v>
      </c>
      <c r="B169" s="48">
        <f t="shared" si="15"/>
        <v>790501.83851330774</v>
      </c>
      <c r="C169" s="65">
        <f>Backlog!$D$42*-1</f>
        <v>-80833.333333333343</v>
      </c>
      <c r="D169" s="45"/>
      <c r="E169" s="46">
        <f>Backlog!$K$115*-1</f>
        <v>-49506.805214537257</v>
      </c>
      <c r="F169" s="46">
        <f t="shared" si="16"/>
        <v>-19551.020782180589</v>
      </c>
      <c r="G169" s="63">
        <f t="shared" si="17"/>
        <v>-11608971.304432115</v>
      </c>
      <c r="H169" s="67">
        <f t="shared" si="20"/>
        <v>8321138.2236463856</v>
      </c>
      <c r="I169" s="68">
        <f t="shared" si="18"/>
        <v>0.71678514878140076</v>
      </c>
      <c r="J169" s="49">
        <f t="shared" si="19"/>
        <v>-3287833.080785729</v>
      </c>
    </row>
    <row r="170" spans="1:10" ht="13" x14ac:dyDescent="0.25">
      <c r="A170" s="41">
        <v>48853</v>
      </c>
      <c r="B170" s="48">
        <f t="shared" si="15"/>
        <v>869550.22236463858</v>
      </c>
      <c r="C170" s="65">
        <f>Backlog!$D$42*-1</f>
        <v>-80833.333333333343</v>
      </c>
      <c r="D170" s="45"/>
      <c r="E170" s="46">
        <f>Backlog!$K$115*-1</f>
        <v>-49506.805214537257</v>
      </c>
      <c r="F170" s="46">
        <f t="shared" si="16"/>
        <v>-19551.020782180589</v>
      </c>
      <c r="G170" s="63">
        <f t="shared" si="17"/>
        <v>-11758862.463762166</v>
      </c>
      <c r="H170" s="67">
        <f t="shared" si="20"/>
        <v>9190688.4460110236</v>
      </c>
      <c r="I170" s="68">
        <f t="shared" si="18"/>
        <v>0.78159672964407878</v>
      </c>
      <c r="J170" s="49">
        <f t="shared" si="19"/>
        <v>-2568174.0177511424</v>
      </c>
    </row>
    <row r="171" spans="1:10" ht="13" x14ac:dyDescent="0.25">
      <c r="A171" s="41">
        <v>48884</v>
      </c>
      <c r="B171" s="48">
        <f t="shared" si="15"/>
        <v>956507.64460110234</v>
      </c>
      <c r="C171" s="65">
        <f>Backlog!$D$42*-1</f>
        <v>-80833.333333333343</v>
      </c>
      <c r="D171" s="45"/>
      <c r="E171" s="46">
        <f>Backlog!$K$115*-1</f>
        <v>-49506.805214537257</v>
      </c>
      <c r="F171" s="46">
        <f t="shared" si="16"/>
        <v>-19551.020782180589</v>
      </c>
      <c r="G171" s="63">
        <f t="shared" si="17"/>
        <v>-11908753.623092217</v>
      </c>
      <c r="H171" s="67">
        <f t="shared" si="20"/>
        <v>10147196.090612127</v>
      </c>
      <c r="I171" s="68">
        <f t="shared" si="18"/>
        <v>0.85207876590340559</v>
      </c>
      <c r="J171" s="49">
        <f t="shared" si="19"/>
        <v>-1761557.5324800909</v>
      </c>
    </row>
    <row r="172" spans="1:10" ht="13" x14ac:dyDescent="0.25">
      <c r="A172" s="41">
        <v>48914</v>
      </c>
      <c r="B172" s="48">
        <f t="shared" si="15"/>
        <v>1052157.5090612127</v>
      </c>
      <c r="C172" s="65">
        <f>Backlog!$D$42*-1</f>
        <v>-80833.333333333343</v>
      </c>
      <c r="D172" s="45"/>
      <c r="E172" s="46">
        <f>Backlog!$K$115*-1</f>
        <v>-49506.805214537257</v>
      </c>
      <c r="F172" s="46">
        <f t="shared" si="16"/>
        <v>-19551.020782180589</v>
      </c>
      <c r="G172" s="63">
        <f t="shared" si="17"/>
        <v>-12058644.782422269</v>
      </c>
      <c r="H172" s="67">
        <f t="shared" si="20"/>
        <v>11199353.599673338</v>
      </c>
      <c r="I172" s="68">
        <f t="shared" si="18"/>
        <v>0.92874065052471666</v>
      </c>
      <c r="J172" s="49">
        <f t="shared" si="19"/>
        <v>-859291.18274893053</v>
      </c>
    </row>
    <row r="173" spans="1:10" ht="13" x14ac:dyDescent="0.25">
      <c r="A173" s="41">
        <v>48945</v>
      </c>
      <c r="B173" s="48">
        <f t="shared" si="15"/>
        <v>1157373.2599673339</v>
      </c>
      <c r="C173" s="65">
        <f>Backlog!$D$42*-1</f>
        <v>-80833.333333333343</v>
      </c>
      <c r="D173" s="45"/>
      <c r="E173" s="46">
        <f>Backlog!$K$115*-1</f>
        <v>-49506.805214537257</v>
      </c>
      <c r="F173" s="46">
        <f t="shared" si="16"/>
        <v>-19551.020782180589</v>
      </c>
      <c r="G173" s="63">
        <f t="shared" si="17"/>
        <v>-12208535.94175232</v>
      </c>
      <c r="H173" s="67">
        <f t="shared" si="20"/>
        <v>12356726.859640673</v>
      </c>
      <c r="I173" s="69">
        <f t="shared" si="18"/>
        <v>1.0121383037733092</v>
      </c>
      <c r="J173" s="70">
        <f t="shared" si="19"/>
        <v>148190.91788835265</v>
      </c>
    </row>
    <row r="174" spans="1:10" ht="13" x14ac:dyDescent="0.25">
      <c r="A174" s="41">
        <v>48976</v>
      </c>
      <c r="B174" s="48">
        <f t="shared" si="15"/>
        <v>1273109.6859640672</v>
      </c>
      <c r="C174" s="65">
        <f>Backlog!$D$42*-1</f>
        <v>-80833.333333333343</v>
      </c>
      <c r="D174" s="45"/>
      <c r="E174" s="46">
        <f>Backlog!$K$115*-1</f>
        <v>-49506.805214537257</v>
      </c>
      <c r="F174" s="46">
        <f t="shared" si="16"/>
        <v>-19551.020782180589</v>
      </c>
      <c r="G174" s="63">
        <f t="shared" si="17"/>
        <v>-12358427.101082372</v>
      </c>
      <c r="H174" s="67">
        <f t="shared" si="20"/>
        <v>13629836.545604739</v>
      </c>
      <c r="I174" s="69">
        <f t="shared" si="18"/>
        <v>1.1028779337470069</v>
      </c>
      <c r="J174" s="70">
        <f t="shared" si="19"/>
        <v>1271409.4445223678</v>
      </c>
    </row>
    <row r="175" spans="1:10" ht="13" x14ac:dyDescent="0.25">
      <c r="A175" s="41">
        <v>49004</v>
      </c>
      <c r="B175" s="48">
        <f t="shared" si="15"/>
        <v>1400421.2545604741</v>
      </c>
      <c r="C175" s="65">
        <f>Backlog!$D$42*-1</f>
        <v>-80833.333333333343</v>
      </c>
      <c r="D175" s="45"/>
      <c r="E175" s="46">
        <f>Backlog!$K$115*-1</f>
        <v>-49506.805214537257</v>
      </c>
      <c r="F175" s="46">
        <f t="shared" si="16"/>
        <v>-19551.020782180589</v>
      </c>
      <c r="G175" s="63">
        <f t="shared" si="17"/>
        <v>-12508318.260412423</v>
      </c>
      <c r="H175" s="67">
        <f t="shared" si="20"/>
        <v>15030257.800165214</v>
      </c>
      <c r="I175" s="69">
        <f t="shared" si="18"/>
        <v>1.2016209923067338</v>
      </c>
      <c r="J175" s="70">
        <f t="shared" si="19"/>
        <v>2521939.5397527907</v>
      </c>
    </row>
    <row r="176" spans="1:10" ht="13" x14ac:dyDescent="0.25">
      <c r="A176" s="41">
        <v>49035</v>
      </c>
      <c r="B176" s="48">
        <f t="shared" si="15"/>
        <v>1540462.4800165214</v>
      </c>
      <c r="C176" s="65">
        <f>Backlog!$D$42*-1</f>
        <v>-80833.333333333343</v>
      </c>
      <c r="D176" s="45"/>
      <c r="E176" s="46">
        <f>Backlog!$K$115*-1</f>
        <v>-49506.805214537257</v>
      </c>
      <c r="F176" s="46">
        <f t="shared" si="16"/>
        <v>-19551.020782180589</v>
      </c>
      <c r="G176" s="63">
        <f t="shared" si="17"/>
        <v>-12658209.419742474</v>
      </c>
      <c r="H176" s="67">
        <f t="shared" si="20"/>
        <v>16570720.280181736</v>
      </c>
      <c r="I176" s="69">
        <f t="shared" si="18"/>
        <v>1.3090888079586582</v>
      </c>
      <c r="J176" s="70">
        <f t="shared" si="19"/>
        <v>3912510.8604392614</v>
      </c>
    </row>
    <row r="177" spans="1:10" ht="13" x14ac:dyDescent="0.25">
      <c r="A177" s="41">
        <v>49065</v>
      </c>
      <c r="B177" s="48">
        <f t="shared" si="15"/>
        <v>1694509.3280181736</v>
      </c>
      <c r="C177" s="65">
        <f>Backlog!$D$42*-1</f>
        <v>-80833.333333333343</v>
      </c>
      <c r="D177" s="45"/>
      <c r="E177" s="46">
        <f>Backlog!$K$115*-1</f>
        <v>-49506.805214537257</v>
      </c>
      <c r="F177" s="46">
        <f t="shared" si="16"/>
        <v>-19551.020782180589</v>
      </c>
      <c r="G177" s="63">
        <f t="shared" si="17"/>
        <v>-12808100.579072526</v>
      </c>
      <c r="H177" s="67">
        <f t="shared" si="20"/>
        <v>18265229.608199909</v>
      </c>
      <c r="I177" s="69">
        <f t="shared" si="18"/>
        <v>1.4260685646116742</v>
      </c>
      <c r="J177" s="70">
        <f t="shared" si="19"/>
        <v>5457129.0291273836</v>
      </c>
    </row>
    <row r="178" spans="1:10" ht="13" x14ac:dyDescent="0.25">
      <c r="A178" s="41">
        <v>49096</v>
      </c>
      <c r="B178" s="48">
        <f t="shared" si="15"/>
        <v>1863959.660819991</v>
      </c>
      <c r="C178" s="65">
        <f>Backlog!$D$42*-1</f>
        <v>-80833.333333333343</v>
      </c>
      <c r="D178" s="45"/>
      <c r="E178" s="46">
        <f>Backlog!$K$115*-1</f>
        <v>-49506.805214537257</v>
      </c>
      <c r="F178" s="46">
        <f t="shared" si="16"/>
        <v>-19551.020782180589</v>
      </c>
      <c r="G178" s="63">
        <f t="shared" si="17"/>
        <v>-12957991.738402577</v>
      </c>
      <c r="H178" s="67">
        <f t="shared" si="20"/>
        <v>20129189.269019902</v>
      </c>
      <c r="I178" s="69">
        <f t="shared" si="18"/>
        <v>1.5534188997330978</v>
      </c>
      <c r="J178" s="70">
        <f t="shared" si="19"/>
        <v>7171197.5306173246</v>
      </c>
    </row>
    <row r="179" spans="1:10" ht="13" x14ac:dyDescent="0.25">
      <c r="A179" s="41">
        <v>49126</v>
      </c>
      <c r="B179" s="48">
        <f t="shared" si="15"/>
        <v>2050354.7269019899</v>
      </c>
      <c r="C179" s="65">
        <f>Backlog!$D$42*-1</f>
        <v>-80833.333333333343</v>
      </c>
      <c r="D179" s="45"/>
      <c r="E179" s="46">
        <f>Backlog!$K$115*-1</f>
        <v>-49506.805214537257</v>
      </c>
      <c r="F179" s="46">
        <f t="shared" si="16"/>
        <v>-19551.020782180589</v>
      </c>
      <c r="G179" s="63">
        <f t="shared" si="17"/>
        <v>-13107882.897732629</v>
      </c>
      <c r="H179" s="67">
        <f t="shared" si="20"/>
        <v>22179543.995921891</v>
      </c>
      <c r="I179" s="69">
        <f t="shared" si="18"/>
        <v>1.6920767578537383</v>
      </c>
      <c r="J179" s="70">
        <f t="shared" si="19"/>
        <v>9071661.0981892627</v>
      </c>
    </row>
    <row r="180" spans="1:10" ht="13" x14ac:dyDescent="0.25">
      <c r="A180" s="41">
        <v>49157</v>
      </c>
      <c r="B180" s="48">
        <f t="shared" si="15"/>
        <v>2255388.6995921889</v>
      </c>
      <c r="C180" s="65">
        <f>Backlog!$D$42*-1</f>
        <v>-80833.333333333343</v>
      </c>
      <c r="D180" s="45"/>
      <c r="E180" s="46">
        <f>Backlog!$K$115*-1</f>
        <v>-49506.805214537257</v>
      </c>
      <c r="F180" s="46">
        <f t="shared" si="16"/>
        <v>-19551.020782180589</v>
      </c>
      <c r="G180" s="63">
        <f t="shared" si="17"/>
        <v>-13257774.05706268</v>
      </c>
      <c r="H180" s="67">
        <f t="shared" si="20"/>
        <v>24434932.695514079</v>
      </c>
      <c r="I180" s="69">
        <f t="shared" si="18"/>
        <v>1.8430644986363383</v>
      </c>
      <c r="J180" s="70">
        <f t="shared" si="19"/>
        <v>11177158.638451399</v>
      </c>
    </row>
    <row r="181" spans="1:10" ht="13" x14ac:dyDescent="0.25">
      <c r="A181" s="41">
        <v>49188</v>
      </c>
      <c r="B181" s="48">
        <f t="shared" si="15"/>
        <v>2480927.269551408</v>
      </c>
      <c r="C181" s="65">
        <f>Backlog!$D$42*-1</f>
        <v>-80833.333333333343</v>
      </c>
      <c r="D181" s="45"/>
      <c r="E181" s="46">
        <f>Backlog!$K$115*-1</f>
        <v>-49506.805214537257</v>
      </c>
      <c r="F181" s="46">
        <f t="shared" si="16"/>
        <v>-19551.020782180589</v>
      </c>
      <c r="G181" s="63">
        <f t="shared" si="17"/>
        <v>-13407665.216392731</v>
      </c>
      <c r="H181" s="67">
        <f t="shared" si="20"/>
        <v>26915859.965065487</v>
      </c>
      <c r="I181" s="69">
        <f t="shared" si="18"/>
        <v>2.0074979148612031</v>
      </c>
      <c r="J181" s="70">
        <f t="shared" si="19"/>
        <v>13508194.748672755</v>
      </c>
    </row>
    <row r="182" spans="1:10" ht="13" x14ac:dyDescent="0.25">
      <c r="A182" s="41">
        <v>49218</v>
      </c>
      <c r="B182" s="48">
        <f t="shared" si="15"/>
        <v>2729020.2965065488</v>
      </c>
      <c r="C182" s="65">
        <f>Backlog!$D$42*-1</f>
        <v>-80833.333333333343</v>
      </c>
      <c r="D182" s="45"/>
      <c r="E182" s="46">
        <f>Backlog!$K$115*-1</f>
        <v>-49506.805214537257</v>
      </c>
      <c r="F182" s="46">
        <f t="shared" si="16"/>
        <v>-19551.020782180589</v>
      </c>
      <c r="G182" s="63">
        <f t="shared" si="17"/>
        <v>-13557556.375722783</v>
      </c>
      <c r="H182" s="67">
        <f t="shared" si="20"/>
        <v>29644880.261572037</v>
      </c>
      <c r="I182" s="69">
        <f t="shared" si="18"/>
        <v>2.1865946517217858</v>
      </c>
      <c r="J182" s="70">
        <f t="shared" si="19"/>
        <v>16087323.885849254</v>
      </c>
    </row>
    <row r="183" spans="1:10" ht="13" x14ac:dyDescent="0.25">
      <c r="A183" s="41">
        <v>49249</v>
      </c>
      <c r="B183" s="48">
        <f t="shared" si="15"/>
        <v>3001923.5261572036</v>
      </c>
      <c r="C183" s="65">
        <f>Backlog!$D$42*-1</f>
        <v>-80833.333333333343</v>
      </c>
      <c r="D183" s="45"/>
      <c r="E183" s="46">
        <f>Backlog!$K$115*-1</f>
        <v>-49506.805214537257</v>
      </c>
      <c r="F183" s="46">
        <f t="shared" si="16"/>
        <v>-19551.020782180589</v>
      </c>
      <c r="G183" s="63">
        <f t="shared" si="17"/>
        <v>-13707447.535052834</v>
      </c>
      <c r="H183" s="67">
        <f t="shared" si="20"/>
        <v>32646803.787729241</v>
      </c>
      <c r="I183" s="69">
        <f t="shared" si="18"/>
        <v>2.3816836580438832</v>
      </c>
      <c r="J183" s="70">
        <f t="shared" si="19"/>
        <v>18939356.252676405</v>
      </c>
    </row>
    <row r="184" spans="1:10" ht="13" x14ac:dyDescent="0.25">
      <c r="A184" s="41">
        <v>49279</v>
      </c>
      <c r="B184" s="48">
        <f t="shared" si="15"/>
        <v>3302114.3787729242</v>
      </c>
      <c r="C184" s="65">
        <f>Backlog!$D$42*-1</f>
        <v>-80833.333333333343</v>
      </c>
      <c r="D184" s="45"/>
      <c r="E184" s="46">
        <f>Backlog!$K$115*-1</f>
        <v>-49506.805214537257</v>
      </c>
      <c r="F184" s="46">
        <f t="shared" si="16"/>
        <v>-19551.020782180589</v>
      </c>
      <c r="G184" s="63">
        <f t="shared" si="17"/>
        <v>-13857338.694382885</v>
      </c>
      <c r="H184" s="67">
        <f t="shared" si="20"/>
        <v>35948918.166502163</v>
      </c>
      <c r="I184" s="69">
        <f t="shared" si="18"/>
        <v>2.5942151634840367</v>
      </c>
      <c r="J184" s="70">
        <f t="shared" si="19"/>
        <v>22091579.472119279</v>
      </c>
    </row>
    <row r="185" spans="1:10" ht="13" x14ac:dyDescent="0.25">
      <c r="A185" s="41">
        <v>49310</v>
      </c>
      <c r="B185" s="48">
        <f t="shared" si="15"/>
        <v>3632325.8166502165</v>
      </c>
      <c r="C185" s="65">
        <f>Backlog!$D$42*-1</f>
        <v>-80833.333333333343</v>
      </c>
      <c r="D185" s="45"/>
      <c r="E185" s="46">
        <f>Backlog!$K$115*-1</f>
        <v>-49506.805214537257</v>
      </c>
      <c r="F185" s="46">
        <f t="shared" si="16"/>
        <v>-19551.020782180589</v>
      </c>
      <c r="G185" s="63">
        <f t="shared" si="17"/>
        <v>-14007229.853712937</v>
      </c>
      <c r="H185" s="67">
        <f t="shared" si="20"/>
        <v>39581243.983152382</v>
      </c>
      <c r="I185" s="69">
        <f t="shared" si="18"/>
        <v>2.8257724329882734</v>
      </c>
      <c r="J185" s="70">
        <f t="shared" si="19"/>
        <v>25574014.129439443</v>
      </c>
    </row>
    <row r="186" spans="1:10" ht="13" x14ac:dyDescent="0.25">
      <c r="A186" s="41">
        <v>49341</v>
      </c>
      <c r="B186" s="48">
        <f t="shared" si="15"/>
        <v>3995559.2983152382</v>
      </c>
      <c r="C186" s="65">
        <f>Backlog!$D$42*-1</f>
        <v>-80833.333333333343</v>
      </c>
      <c r="D186" s="45"/>
      <c r="E186" s="46">
        <f>Backlog!$K$115*-1</f>
        <v>-49506.805214537257</v>
      </c>
      <c r="F186" s="46">
        <f t="shared" si="16"/>
        <v>-19551.020782180589</v>
      </c>
      <c r="G186" s="63">
        <f t="shared" si="17"/>
        <v>-14157121.013042988</v>
      </c>
      <c r="H186" s="67">
        <f t="shared" si="20"/>
        <v>43576803.281467617</v>
      </c>
      <c r="I186" s="69">
        <f t="shared" si="18"/>
        <v>3.0780836895665584</v>
      </c>
      <c r="J186" s="70">
        <f t="shared" si="19"/>
        <v>29419682.26842463</v>
      </c>
    </row>
    <row r="187" spans="1:10" ht="13" x14ac:dyDescent="0.25">
      <c r="A187" s="41">
        <v>49369</v>
      </c>
      <c r="B187" s="48">
        <f t="shared" si="15"/>
        <v>4395115.8281467622</v>
      </c>
      <c r="C187" s="65">
        <f>Backlog!$D$42*-1</f>
        <v>-80833.333333333343</v>
      </c>
      <c r="D187" s="45"/>
      <c r="E187" s="46">
        <f>Backlog!$K$115*-1</f>
        <v>-49506.805214537257</v>
      </c>
      <c r="F187" s="46">
        <f t="shared" si="16"/>
        <v>-19551.020782180589</v>
      </c>
      <c r="G187" s="63">
        <f t="shared" si="17"/>
        <v>-14307012.17237304</v>
      </c>
      <c r="H187" s="67">
        <f t="shared" si="20"/>
        <v>47971919.10961438</v>
      </c>
      <c r="I187" s="69">
        <f t="shared" si="18"/>
        <v>3.3530354578329469</v>
      </c>
      <c r="J187" s="70">
        <f t="shared" si="19"/>
        <v>33664906.937241338</v>
      </c>
    </row>
    <row r="188" spans="1:10" ht="13" x14ac:dyDescent="0.25">
      <c r="A188" s="41">
        <v>49400</v>
      </c>
      <c r="B188" s="48">
        <f t="shared" si="15"/>
        <v>4834627.1109614382</v>
      </c>
      <c r="C188" s="65">
        <f>Backlog!$D$42*-1</f>
        <v>-80833.333333333343</v>
      </c>
      <c r="D188" s="45"/>
      <c r="E188" s="46">
        <f>Backlog!$K$115*-1</f>
        <v>-49506.805214537257</v>
      </c>
      <c r="F188" s="46">
        <f t="shared" si="16"/>
        <v>-19551.020782180589</v>
      </c>
      <c r="G188" s="63">
        <f t="shared" si="17"/>
        <v>-14456903.331703091</v>
      </c>
      <c r="H188" s="67">
        <f t="shared" si="20"/>
        <v>52806546.220575817</v>
      </c>
      <c r="I188" s="69">
        <f t="shared" si="18"/>
        <v>3.652687232456922</v>
      </c>
      <c r="J188" s="70">
        <f t="shared" si="19"/>
        <v>38349642.888872728</v>
      </c>
    </row>
    <row r="189" spans="1:10" ht="13" x14ac:dyDescent="0.25">
      <c r="A189" s="41">
        <v>49430</v>
      </c>
      <c r="B189" s="48">
        <f t="shared" si="15"/>
        <v>5318089.8220575815</v>
      </c>
      <c r="C189" s="65">
        <f>Backlog!$D$42*-1</f>
        <v>-80833.333333333343</v>
      </c>
      <c r="D189" s="45"/>
      <c r="E189" s="46">
        <f>Backlog!$K$115*-1</f>
        <v>-49506.805214537257</v>
      </c>
      <c r="F189" s="46">
        <f t="shared" si="16"/>
        <v>-19551.020782180589</v>
      </c>
      <c r="G189" s="63">
        <f t="shared" si="17"/>
        <v>-14606794.491033142</v>
      </c>
      <c r="H189" s="67">
        <f t="shared" si="20"/>
        <v>58124636.042633399</v>
      </c>
      <c r="I189" s="69">
        <f t="shared" si="18"/>
        <v>3.979287589642964</v>
      </c>
      <c r="J189" s="70">
        <f t="shared" si="19"/>
        <v>43517841.551600255</v>
      </c>
    </row>
    <row r="190" spans="1:10" ht="13" x14ac:dyDescent="0.25">
      <c r="A190" s="41">
        <v>49461</v>
      </c>
      <c r="B190" s="48">
        <f t="shared" si="15"/>
        <v>5849897.0042633405</v>
      </c>
      <c r="C190" s="65">
        <f>Backlog!$D$42*-1</f>
        <v>-80833.333333333343</v>
      </c>
      <c r="D190" s="45"/>
      <c r="E190" s="46">
        <f>Backlog!$K$115*-1</f>
        <v>-49506.805214537257</v>
      </c>
      <c r="F190" s="46">
        <f t="shared" si="16"/>
        <v>-19551.020782180589</v>
      </c>
      <c r="G190" s="63">
        <f t="shared" si="17"/>
        <v>-14756685.650363194</v>
      </c>
      <c r="H190" s="67">
        <f t="shared" si="20"/>
        <v>63974533.046896741</v>
      </c>
      <c r="I190" s="69">
        <f t="shared" si="18"/>
        <v>4.3352914443442243</v>
      </c>
      <c r="J190" s="70">
        <f t="shared" si="19"/>
        <v>49217847.396533549</v>
      </c>
    </row>
    <row r="191" spans="1:10" ht="13" x14ac:dyDescent="0.25">
      <c r="A191" s="41">
        <v>49491</v>
      </c>
      <c r="B191" s="48">
        <f t="shared" si="15"/>
        <v>6434887.6046896745</v>
      </c>
      <c r="C191" s="65">
        <f>Backlog!$D$42*-1</f>
        <v>-80833.333333333343</v>
      </c>
      <c r="D191" s="45"/>
      <c r="E191" s="46">
        <f>Backlog!$K$115*-1</f>
        <v>-49506.805214537257</v>
      </c>
      <c r="F191" s="46">
        <f t="shared" si="16"/>
        <v>-19551.020782180589</v>
      </c>
      <c r="G191" s="63">
        <f t="shared" si="17"/>
        <v>-14906576.809693245</v>
      </c>
      <c r="H191" s="67">
        <f t="shared" si="20"/>
        <v>70409420.651586413</v>
      </c>
      <c r="I191" s="69">
        <f t="shared" si="18"/>
        <v>4.7233795894575561</v>
      </c>
      <c r="J191" s="70">
        <f t="shared" si="19"/>
        <v>55502843.841893166</v>
      </c>
    </row>
    <row r="192" spans="1:10" ht="13" x14ac:dyDescent="0.25">
      <c r="A192" s="41">
        <v>49522</v>
      </c>
      <c r="B192" s="48">
        <f t="shared" si="15"/>
        <v>7078375.1651586415</v>
      </c>
      <c r="C192" s="65">
        <f>Backlog!$D$42*-1</f>
        <v>-80833.333333333343</v>
      </c>
      <c r="D192" s="45"/>
      <c r="E192" s="46">
        <f>Backlog!$K$115*-1</f>
        <v>-49506.805214537257</v>
      </c>
      <c r="F192" s="46">
        <f t="shared" si="16"/>
        <v>-19551.020782180589</v>
      </c>
      <c r="G192" s="63">
        <f t="shared" si="17"/>
        <v>-15056467.969023297</v>
      </c>
      <c r="H192" s="67">
        <f t="shared" si="20"/>
        <v>77487795.816745058</v>
      </c>
      <c r="I192" s="69">
        <f t="shared" si="18"/>
        <v>5.1464789734329468</v>
      </c>
      <c r="J192" s="70">
        <f t="shared" si="19"/>
        <v>62431327.847721763</v>
      </c>
    </row>
    <row r="193" spans="1:10" ht="13" x14ac:dyDescent="0.25">
      <c r="A193" s="41">
        <v>49553</v>
      </c>
      <c r="B193" s="48">
        <f t="shared" si="15"/>
        <v>7786212.6816745056</v>
      </c>
      <c r="C193" s="65">
        <f>Backlog!$D$42*-1</f>
        <v>-80833.333333333343</v>
      </c>
      <c r="D193" s="45"/>
      <c r="E193" s="46">
        <f>Backlog!$K$115*-1</f>
        <v>-49506.805214537257</v>
      </c>
      <c r="F193" s="46">
        <f t="shared" si="16"/>
        <v>-19551.020782180589</v>
      </c>
      <c r="G193" s="63">
        <f t="shared" si="17"/>
        <v>-15206359.128353348</v>
      </c>
      <c r="H193" s="67">
        <f t="shared" si="20"/>
        <v>85274008.498419568</v>
      </c>
      <c r="I193" s="69">
        <f t="shared" si="18"/>
        <v>5.6077860438939693</v>
      </c>
      <c r="J193" s="70">
        <f t="shared" si="19"/>
        <v>70067649.370066226</v>
      </c>
    </row>
    <row r="194" spans="1:10" ht="13" x14ac:dyDescent="0.25">
      <c r="A194" s="41">
        <v>49583</v>
      </c>
      <c r="B194" s="48">
        <f t="shared" si="15"/>
        <v>8564833.6498419568</v>
      </c>
      <c r="C194" s="65">
        <f>Backlog!$D$42*-1</f>
        <v>-80833.333333333343</v>
      </c>
      <c r="D194" s="45"/>
      <c r="E194" s="46">
        <f>Backlog!$K$115*-1</f>
        <v>-49506.805214537257</v>
      </c>
      <c r="F194" s="46">
        <f t="shared" si="16"/>
        <v>-19551.020782180589</v>
      </c>
      <c r="G194" s="63">
        <f t="shared" si="17"/>
        <v>-15356250.287683399</v>
      </c>
      <c r="H194" s="67">
        <f t="shared" si="20"/>
        <v>93838842.148261517</v>
      </c>
      <c r="I194" s="69">
        <f t="shared" si="18"/>
        <v>6.1107913970069694</v>
      </c>
      <c r="J194" s="70">
        <f t="shared" si="19"/>
        <v>78482591.86057812</v>
      </c>
    </row>
    <row r="195" spans="1:10" ht="13" x14ac:dyDescent="0.25">
      <c r="A195" s="41">
        <v>49614</v>
      </c>
      <c r="B195" s="48">
        <f t="shared" si="15"/>
        <v>9421317.3148261514</v>
      </c>
      <c r="C195" s="65">
        <f>Backlog!$D$42*-1</f>
        <v>-80833.333333333343</v>
      </c>
      <c r="D195" s="45"/>
      <c r="E195" s="46">
        <f>Backlog!$K$115*-1</f>
        <v>-49506.805214537257</v>
      </c>
      <c r="F195" s="46">
        <f t="shared" si="16"/>
        <v>-19551.020782180589</v>
      </c>
      <c r="G195" s="63">
        <f t="shared" si="17"/>
        <v>-15506141.447013451</v>
      </c>
      <c r="H195" s="67">
        <f t="shared" si="20"/>
        <v>103260159.46308766</v>
      </c>
      <c r="I195" s="69">
        <f t="shared" si="18"/>
        <v>6.6593072052090694</v>
      </c>
      <c r="J195" s="70">
        <f t="shared" si="19"/>
        <v>87754018.01607421</v>
      </c>
    </row>
    <row r="196" spans="1:10" ht="13" x14ac:dyDescent="0.25">
      <c r="A196" s="41">
        <v>49644</v>
      </c>
      <c r="B196" s="48">
        <f t="shared" si="15"/>
        <v>10363448.146308767</v>
      </c>
      <c r="C196" s="65">
        <f>Backlog!$D$42*-1</f>
        <v>-80833.333333333343</v>
      </c>
      <c r="D196" s="45"/>
      <c r="E196" s="46">
        <f>Backlog!$K$115*-1</f>
        <v>-49506.805214537257</v>
      </c>
      <c r="F196" s="46">
        <f t="shared" si="16"/>
        <v>-19551.020782180589</v>
      </c>
      <c r="G196" s="63">
        <f t="shared" si="17"/>
        <v>-15656032.606343502</v>
      </c>
      <c r="H196" s="67">
        <f t="shared" si="20"/>
        <v>113623607.60939643</v>
      </c>
      <c r="I196" s="69">
        <f t="shared" si="18"/>
        <v>7.257496868226915</v>
      </c>
      <c r="J196" s="70">
        <f t="shared" si="19"/>
        <v>97967575.00305292</v>
      </c>
    </row>
  </sheetData>
  <mergeCells count="2">
    <mergeCell ref="A73:N73"/>
    <mergeCell ref="A1:N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3CD24-220D-4EF9-8224-C9D7C50828C0}">
  <sheetPr codeName="Feuil3"/>
  <dimension ref="A1:K58"/>
  <sheetViews>
    <sheetView topLeftCell="A23" workbookViewId="0">
      <selection activeCell="A18" sqref="A18:K41"/>
    </sheetView>
  </sheetViews>
  <sheetFormatPr baseColWidth="10" defaultRowHeight="12.5" x14ac:dyDescent="0.25"/>
  <cols>
    <col min="11" max="11" width="30.7265625" customWidth="1"/>
  </cols>
  <sheetData>
    <row r="1" spans="1:11" ht="18" thickBot="1" x14ac:dyDescent="0.4">
      <c r="A1" s="221" t="s">
        <v>177</v>
      </c>
      <c r="B1" s="222"/>
      <c r="C1" s="222"/>
      <c r="D1" s="222"/>
      <c r="E1" s="222"/>
      <c r="F1" s="222"/>
      <c r="G1" s="222"/>
      <c r="H1" s="222"/>
      <c r="I1" s="222"/>
      <c r="J1" s="222"/>
      <c r="K1" s="223"/>
    </row>
    <row r="2" spans="1:11" ht="15.5" x14ac:dyDescent="0.35">
      <c r="A2" s="76" t="s">
        <v>178</v>
      </c>
      <c r="B2" s="77"/>
      <c r="C2" s="77"/>
      <c r="D2" s="77"/>
      <c r="E2" s="78"/>
      <c r="F2" s="78"/>
      <c r="G2" s="78"/>
      <c r="H2" s="78"/>
      <c r="I2" s="78"/>
      <c r="J2" s="78"/>
      <c r="K2" s="79"/>
    </row>
    <row r="3" spans="1:11" ht="15.5" x14ac:dyDescent="0.35">
      <c r="A3" s="80" t="s">
        <v>467</v>
      </c>
      <c r="B3" s="81"/>
      <c r="C3" s="81"/>
      <c r="D3" s="81"/>
      <c r="E3" s="82"/>
      <c r="F3" s="82"/>
      <c r="G3" s="82"/>
      <c r="H3" s="82"/>
      <c r="I3" s="82"/>
      <c r="J3" s="82"/>
      <c r="K3" s="83"/>
    </row>
    <row r="4" spans="1:11" ht="15.5" x14ac:dyDescent="0.35">
      <c r="A4" s="80" t="s">
        <v>468</v>
      </c>
      <c r="B4" s="81"/>
      <c r="C4" s="81"/>
      <c r="D4" s="81"/>
      <c r="E4" s="82"/>
      <c r="F4" s="82"/>
      <c r="G4" s="82"/>
      <c r="H4" s="82"/>
      <c r="I4" s="82"/>
      <c r="J4" s="82"/>
      <c r="K4" s="83"/>
    </row>
    <row r="5" spans="1:11" ht="15.5" x14ac:dyDescent="0.35">
      <c r="A5" s="80" t="s">
        <v>469</v>
      </c>
      <c r="B5" s="81"/>
      <c r="C5" s="81"/>
      <c r="D5" s="81"/>
      <c r="E5" s="82"/>
      <c r="F5" s="82"/>
      <c r="G5" s="82"/>
      <c r="H5" s="82"/>
      <c r="I5" s="82"/>
      <c r="J5" s="82"/>
      <c r="K5" s="83"/>
    </row>
    <row r="6" spans="1:11" ht="15.5" x14ac:dyDescent="0.35">
      <c r="A6" s="84" t="s">
        <v>179</v>
      </c>
      <c r="B6" s="81"/>
      <c r="C6" s="81"/>
      <c r="D6" s="81"/>
      <c r="E6" s="82"/>
      <c r="F6" s="82"/>
      <c r="G6" s="82"/>
      <c r="H6" s="82"/>
      <c r="I6" s="82"/>
      <c r="J6" s="82"/>
      <c r="K6" s="83"/>
    </row>
    <row r="7" spans="1:11" ht="15.5" x14ac:dyDescent="0.35">
      <c r="A7" s="80" t="s">
        <v>470</v>
      </c>
      <c r="B7" s="81"/>
      <c r="C7" s="81"/>
      <c r="D7" s="81"/>
      <c r="E7" s="82"/>
      <c r="F7" s="82"/>
      <c r="G7" s="82"/>
      <c r="H7" s="82"/>
      <c r="I7" s="82"/>
      <c r="J7" s="82"/>
      <c r="K7" s="83"/>
    </row>
    <row r="8" spans="1:11" ht="15.5" x14ac:dyDescent="0.35">
      <c r="A8" s="80" t="s">
        <v>471</v>
      </c>
      <c r="B8" s="81"/>
      <c r="C8" s="81"/>
      <c r="D8" s="81"/>
      <c r="E8" s="82"/>
      <c r="F8" s="82"/>
      <c r="G8" s="82"/>
      <c r="H8" s="82"/>
      <c r="I8" s="82"/>
      <c r="J8" s="82"/>
      <c r="K8" s="83"/>
    </row>
    <row r="9" spans="1:11" ht="15.5" x14ac:dyDescent="0.35">
      <c r="A9" s="84" t="s">
        <v>180</v>
      </c>
      <c r="B9" s="81"/>
      <c r="C9" s="81"/>
      <c r="D9" s="81"/>
      <c r="E9" s="82"/>
      <c r="F9" s="82"/>
      <c r="G9" s="82"/>
      <c r="H9" s="82"/>
      <c r="I9" s="82"/>
      <c r="J9" s="82"/>
      <c r="K9" s="83"/>
    </row>
    <row r="10" spans="1:11" ht="15.5" x14ac:dyDescent="0.35">
      <c r="A10" s="80" t="s">
        <v>472</v>
      </c>
      <c r="B10" s="81"/>
      <c r="C10" s="81"/>
      <c r="D10" s="81"/>
      <c r="E10" s="82"/>
      <c r="F10" s="82"/>
      <c r="G10" s="82"/>
      <c r="H10" s="82"/>
      <c r="I10" s="82"/>
      <c r="J10" s="82"/>
      <c r="K10" s="83"/>
    </row>
    <row r="11" spans="1:11" ht="15.5" x14ac:dyDescent="0.35">
      <c r="A11" s="80" t="s">
        <v>473</v>
      </c>
      <c r="B11" s="81"/>
      <c r="C11" s="81"/>
      <c r="D11" s="81"/>
      <c r="E11" s="82"/>
      <c r="F11" s="82"/>
      <c r="G11" s="82"/>
      <c r="H11" s="82"/>
      <c r="I11" s="82"/>
      <c r="J11" s="82"/>
      <c r="K11" s="83"/>
    </row>
    <row r="12" spans="1:11" ht="15.5" x14ac:dyDescent="0.35">
      <c r="A12" s="80" t="s">
        <v>474</v>
      </c>
      <c r="B12" s="81"/>
      <c r="C12" s="81"/>
      <c r="D12" s="81"/>
      <c r="E12" s="82"/>
      <c r="F12" s="82"/>
      <c r="G12" s="82"/>
      <c r="H12" s="82"/>
      <c r="I12" s="82"/>
      <c r="J12" s="82"/>
      <c r="K12" s="83"/>
    </row>
    <row r="13" spans="1:11" ht="15.5" x14ac:dyDescent="0.35">
      <c r="A13" s="84" t="s">
        <v>181</v>
      </c>
      <c r="B13" s="81"/>
      <c r="C13" s="81"/>
      <c r="D13" s="81"/>
      <c r="E13" s="82"/>
      <c r="F13" s="82"/>
      <c r="G13" s="82"/>
      <c r="H13" s="82"/>
      <c r="I13" s="82"/>
      <c r="J13" s="82"/>
      <c r="K13" s="83"/>
    </row>
    <row r="14" spans="1:11" ht="15.5" x14ac:dyDescent="0.35">
      <c r="A14" s="80" t="s">
        <v>475</v>
      </c>
      <c r="B14" s="81"/>
      <c r="C14" s="81"/>
      <c r="D14" s="81"/>
      <c r="E14" s="82"/>
      <c r="F14" s="82"/>
      <c r="G14" s="82"/>
      <c r="H14" s="82"/>
      <c r="I14" s="82"/>
      <c r="J14" s="82"/>
      <c r="K14" s="83"/>
    </row>
    <row r="15" spans="1:11" ht="15.5" x14ac:dyDescent="0.35">
      <c r="A15" s="80" t="s">
        <v>476</v>
      </c>
      <c r="B15" s="81"/>
      <c r="C15" s="81"/>
      <c r="D15" s="81"/>
      <c r="E15" s="82"/>
      <c r="F15" s="82"/>
      <c r="G15" s="82"/>
      <c r="H15" s="82"/>
      <c r="I15" s="82"/>
      <c r="J15" s="82"/>
      <c r="K15" s="83"/>
    </row>
    <row r="16" spans="1:11" ht="16" thickBot="1" x14ac:dyDescent="0.4">
      <c r="A16" s="85" t="s">
        <v>477</v>
      </c>
      <c r="B16" s="86"/>
      <c r="C16" s="86"/>
      <c r="D16" s="86"/>
      <c r="E16" s="87"/>
      <c r="F16" s="87"/>
      <c r="G16" s="87"/>
      <c r="H16" s="87"/>
      <c r="I16" s="87"/>
      <c r="J16" s="87"/>
      <c r="K16" s="88"/>
    </row>
    <row r="17" spans="1:11" ht="13.5" thickBot="1" x14ac:dyDescent="0.35">
      <c r="A17" s="168"/>
      <c r="B17" s="82"/>
      <c r="C17" s="82"/>
      <c r="D17" s="82"/>
      <c r="E17" s="82"/>
      <c r="F17" s="82"/>
      <c r="G17" s="82"/>
      <c r="H17" s="82"/>
      <c r="I17" s="82"/>
      <c r="J17" s="82"/>
      <c r="K17" s="82"/>
    </row>
    <row r="18" spans="1:11" ht="18" thickBot="1" x14ac:dyDescent="0.4">
      <c r="A18" s="221" t="s">
        <v>478</v>
      </c>
      <c r="B18" s="222"/>
      <c r="C18" s="222"/>
      <c r="D18" s="222"/>
      <c r="E18" s="222"/>
      <c r="F18" s="222"/>
      <c r="G18" s="222"/>
      <c r="H18" s="222"/>
      <c r="I18" s="222"/>
      <c r="J18" s="222"/>
      <c r="K18" s="223"/>
    </row>
    <row r="19" spans="1:11" x14ac:dyDescent="0.25">
      <c r="A19" s="224" t="s">
        <v>479</v>
      </c>
      <c r="B19" s="225"/>
      <c r="C19" s="225"/>
      <c r="D19" s="225"/>
      <c r="E19" s="225"/>
      <c r="F19" s="225"/>
      <c r="G19" s="225"/>
      <c r="H19" s="225"/>
      <c r="I19" s="225"/>
      <c r="J19" s="225"/>
      <c r="K19" s="226"/>
    </row>
    <row r="20" spans="1:11" x14ac:dyDescent="0.25">
      <c r="A20" s="227"/>
      <c r="B20" s="228"/>
      <c r="C20" s="228"/>
      <c r="D20" s="228"/>
      <c r="E20" s="228"/>
      <c r="F20" s="228"/>
      <c r="G20" s="228"/>
      <c r="H20" s="228"/>
      <c r="I20" s="228"/>
      <c r="J20" s="228"/>
      <c r="K20" s="229"/>
    </row>
    <row r="21" spans="1:11" ht="15.5" x14ac:dyDescent="0.35">
      <c r="A21" s="84"/>
      <c r="B21" s="81" t="s">
        <v>480</v>
      </c>
      <c r="C21" s="81"/>
      <c r="D21" s="81"/>
      <c r="E21" s="81"/>
      <c r="F21" s="81"/>
      <c r="G21" s="81"/>
      <c r="H21" s="81"/>
      <c r="I21" s="81"/>
      <c r="J21" s="81"/>
      <c r="K21" s="169"/>
    </row>
    <row r="22" spans="1:11" ht="15.5" x14ac:dyDescent="0.35">
      <c r="A22" s="84"/>
      <c r="B22" s="81" t="s">
        <v>499</v>
      </c>
      <c r="C22" s="81"/>
      <c r="D22" s="81"/>
      <c r="E22" s="81"/>
      <c r="F22" s="81"/>
      <c r="G22" s="81"/>
      <c r="H22" s="81"/>
      <c r="I22" s="81"/>
      <c r="J22" s="81"/>
      <c r="K22" s="169"/>
    </row>
    <row r="23" spans="1:11" ht="15.5" x14ac:dyDescent="0.35">
      <c r="A23" s="84"/>
      <c r="B23" s="81" t="s">
        <v>481</v>
      </c>
      <c r="C23" s="81"/>
      <c r="D23" s="81"/>
      <c r="E23" s="81"/>
      <c r="F23" s="81"/>
      <c r="G23" s="81"/>
      <c r="H23" s="81"/>
      <c r="I23" s="81"/>
      <c r="J23" s="81"/>
      <c r="K23" s="169"/>
    </row>
    <row r="24" spans="1:11" ht="15.5" x14ac:dyDescent="0.35">
      <c r="A24" s="84"/>
      <c r="B24" s="81"/>
      <c r="C24" s="81"/>
      <c r="D24" s="81"/>
      <c r="E24" s="81"/>
      <c r="F24" s="81"/>
      <c r="G24" s="81"/>
      <c r="H24" s="81"/>
      <c r="I24" s="81"/>
      <c r="J24" s="81"/>
      <c r="K24" s="169"/>
    </row>
    <row r="25" spans="1:11" x14ac:dyDescent="0.25">
      <c r="A25" s="230" t="s">
        <v>482</v>
      </c>
      <c r="B25" s="228"/>
      <c r="C25" s="228"/>
      <c r="D25" s="228"/>
      <c r="E25" s="228"/>
      <c r="F25" s="228"/>
      <c r="G25" s="228"/>
      <c r="H25" s="228"/>
      <c r="I25" s="228"/>
      <c r="J25" s="228"/>
      <c r="K25" s="229"/>
    </row>
    <row r="26" spans="1:11" x14ac:dyDescent="0.25">
      <c r="A26" s="227"/>
      <c r="B26" s="228"/>
      <c r="C26" s="228"/>
      <c r="D26" s="228"/>
      <c r="E26" s="228"/>
      <c r="F26" s="228"/>
      <c r="G26" s="228"/>
      <c r="H26" s="228"/>
      <c r="I26" s="228"/>
      <c r="J26" s="228"/>
      <c r="K26" s="229"/>
    </row>
    <row r="27" spans="1:11" ht="15.5" x14ac:dyDescent="0.35">
      <c r="A27" s="84"/>
      <c r="B27" s="81" t="s">
        <v>483</v>
      </c>
      <c r="C27" s="81"/>
      <c r="D27" s="81"/>
      <c r="E27" s="81"/>
      <c r="F27" s="81"/>
      <c r="G27" s="81"/>
      <c r="H27" s="81"/>
      <c r="I27" s="81"/>
      <c r="J27" s="81"/>
      <c r="K27" s="169"/>
    </row>
    <row r="28" spans="1:11" ht="15.5" x14ac:dyDescent="0.35">
      <c r="A28" s="84"/>
      <c r="B28" s="81" t="s">
        <v>484</v>
      </c>
      <c r="C28" s="81"/>
      <c r="D28" s="81"/>
      <c r="E28" s="81"/>
      <c r="F28" s="81"/>
      <c r="G28" s="81"/>
      <c r="H28" s="81"/>
      <c r="I28" s="81"/>
      <c r="J28" s="81"/>
      <c r="K28" s="169"/>
    </row>
    <row r="29" spans="1:11" ht="15.5" x14ac:dyDescent="0.35">
      <c r="A29" s="84"/>
      <c r="B29" s="81" t="s">
        <v>481</v>
      </c>
      <c r="C29" s="81"/>
      <c r="D29" s="81"/>
      <c r="E29" s="81"/>
      <c r="F29" s="81"/>
      <c r="G29" s="81"/>
      <c r="H29" s="81"/>
      <c r="I29" s="81"/>
      <c r="J29" s="81"/>
      <c r="K29" s="169"/>
    </row>
    <row r="30" spans="1:11" ht="15.5" x14ac:dyDescent="0.35">
      <c r="A30" s="84"/>
      <c r="B30" s="81"/>
      <c r="C30" s="81"/>
      <c r="D30" s="81"/>
      <c r="E30" s="81"/>
      <c r="F30" s="81"/>
      <c r="G30" s="81"/>
      <c r="H30" s="81"/>
      <c r="I30" s="81"/>
      <c r="J30" s="81"/>
      <c r="K30" s="169"/>
    </row>
    <row r="31" spans="1:11" x14ac:dyDescent="0.25">
      <c r="A31" s="230" t="s">
        <v>485</v>
      </c>
      <c r="B31" s="228"/>
      <c r="C31" s="228"/>
      <c r="D31" s="228"/>
      <c r="E31" s="228"/>
      <c r="F31" s="228"/>
      <c r="G31" s="228"/>
      <c r="H31" s="228"/>
      <c r="I31" s="228"/>
      <c r="J31" s="228"/>
      <c r="K31" s="229"/>
    </row>
    <row r="32" spans="1:11" x14ac:dyDescent="0.25">
      <c r="A32" s="227"/>
      <c r="B32" s="228"/>
      <c r="C32" s="228"/>
      <c r="D32" s="228"/>
      <c r="E32" s="228"/>
      <c r="F32" s="228"/>
      <c r="G32" s="228"/>
      <c r="H32" s="228"/>
      <c r="I32" s="228"/>
      <c r="J32" s="228"/>
      <c r="K32" s="229"/>
    </row>
    <row r="33" spans="1:11" ht="15.5" x14ac:dyDescent="0.35">
      <c r="A33" s="84"/>
      <c r="B33" s="81" t="s">
        <v>486</v>
      </c>
      <c r="C33" s="81"/>
      <c r="D33" s="81"/>
      <c r="E33" s="81"/>
      <c r="F33" s="81"/>
      <c r="G33" s="81"/>
      <c r="H33" s="81"/>
      <c r="I33" s="81"/>
      <c r="J33" s="81"/>
      <c r="K33" s="169"/>
    </row>
    <row r="34" spans="1:11" ht="15.5" x14ac:dyDescent="0.35">
      <c r="A34" s="84"/>
      <c r="B34" s="81" t="s">
        <v>500</v>
      </c>
      <c r="C34" s="81"/>
      <c r="D34" s="81"/>
      <c r="E34" s="81"/>
      <c r="F34" s="81"/>
      <c r="G34" s="81"/>
      <c r="H34" s="81"/>
      <c r="I34" s="81"/>
      <c r="J34" s="81"/>
      <c r="K34" s="169"/>
    </row>
    <row r="35" spans="1:11" ht="15.5" x14ac:dyDescent="0.35">
      <c r="A35" s="84"/>
      <c r="B35" s="81" t="s">
        <v>487</v>
      </c>
      <c r="C35" s="81"/>
      <c r="D35" s="81"/>
      <c r="E35" s="81"/>
      <c r="F35" s="81"/>
      <c r="G35" s="81"/>
      <c r="H35" s="81"/>
      <c r="I35" s="81"/>
      <c r="J35" s="81"/>
      <c r="K35" s="169"/>
    </row>
    <row r="36" spans="1:11" ht="15.5" x14ac:dyDescent="0.35">
      <c r="A36" s="84"/>
      <c r="B36" s="81"/>
      <c r="C36" s="81"/>
      <c r="D36" s="81"/>
      <c r="E36" s="81"/>
      <c r="F36" s="81"/>
      <c r="G36" s="81"/>
      <c r="H36" s="81"/>
      <c r="I36" s="81"/>
      <c r="J36" s="81"/>
      <c r="K36" s="169"/>
    </row>
    <row r="37" spans="1:11" x14ac:dyDescent="0.25">
      <c r="A37" s="230" t="s">
        <v>488</v>
      </c>
      <c r="B37" s="228"/>
      <c r="C37" s="228"/>
      <c r="D37" s="228"/>
      <c r="E37" s="228"/>
      <c r="F37" s="228"/>
      <c r="G37" s="228"/>
      <c r="H37" s="228"/>
      <c r="I37" s="228"/>
      <c r="J37" s="228"/>
      <c r="K37" s="229"/>
    </row>
    <row r="38" spans="1:11" x14ac:dyDescent="0.25">
      <c r="A38" s="227"/>
      <c r="B38" s="228"/>
      <c r="C38" s="228"/>
      <c r="D38" s="228"/>
      <c r="E38" s="228"/>
      <c r="F38" s="228"/>
      <c r="G38" s="228"/>
      <c r="H38" s="228"/>
      <c r="I38" s="228"/>
      <c r="J38" s="228"/>
      <c r="K38" s="229"/>
    </row>
    <row r="39" spans="1:11" ht="15.5" x14ac:dyDescent="0.35">
      <c r="A39" s="84"/>
      <c r="B39" s="81" t="s">
        <v>486</v>
      </c>
      <c r="C39" s="81"/>
      <c r="D39" s="81"/>
      <c r="E39" s="81"/>
      <c r="F39" s="81"/>
      <c r="G39" s="81"/>
      <c r="H39" s="81"/>
      <c r="I39" s="81"/>
      <c r="J39" s="81"/>
      <c r="K39" s="169"/>
    </row>
    <row r="40" spans="1:11" ht="15.5" x14ac:dyDescent="0.35">
      <c r="A40" s="84"/>
      <c r="B40" s="81" t="s">
        <v>500</v>
      </c>
      <c r="C40" s="81"/>
      <c r="D40" s="81"/>
      <c r="E40" s="81"/>
      <c r="F40" s="81"/>
      <c r="G40" s="81"/>
      <c r="H40" s="81"/>
      <c r="I40" s="81"/>
      <c r="J40" s="81"/>
      <c r="K40" s="169"/>
    </row>
    <row r="41" spans="1:11" ht="16" thickBot="1" x14ac:dyDescent="0.4">
      <c r="A41" s="170"/>
      <c r="B41" s="86" t="s">
        <v>489</v>
      </c>
      <c r="C41" s="86"/>
      <c r="D41" s="86"/>
      <c r="E41" s="86"/>
      <c r="F41" s="86"/>
      <c r="G41" s="86"/>
      <c r="H41" s="86"/>
      <c r="I41" s="86"/>
      <c r="J41" s="86"/>
      <c r="K41" s="171"/>
    </row>
    <row r="42" spans="1:11" ht="13" x14ac:dyDescent="0.3">
      <c r="A42" s="168"/>
      <c r="B42" s="82"/>
      <c r="C42" s="82"/>
      <c r="D42" s="82"/>
      <c r="E42" s="82"/>
      <c r="F42" s="82"/>
      <c r="G42" s="82"/>
      <c r="H42" s="82"/>
      <c r="I42" s="82"/>
      <c r="J42" s="82"/>
      <c r="K42" s="82"/>
    </row>
    <row r="43" spans="1:11" ht="13" x14ac:dyDescent="0.3">
      <c r="A43" s="168"/>
      <c r="B43" s="82"/>
      <c r="C43" s="82"/>
      <c r="D43" s="82"/>
      <c r="E43" s="82"/>
      <c r="F43" s="82"/>
      <c r="G43" s="82"/>
      <c r="H43" s="82"/>
      <c r="I43" s="82"/>
      <c r="J43" s="82"/>
      <c r="K43" s="82"/>
    </row>
    <row r="44" spans="1:11" ht="13.5" thickBot="1" x14ac:dyDescent="0.35">
      <c r="A44" s="82"/>
      <c r="B44" s="82"/>
      <c r="C44" s="82"/>
      <c r="D44" s="82"/>
      <c r="E44" s="82"/>
      <c r="F44" s="82"/>
      <c r="G44" s="82"/>
      <c r="H44" s="82"/>
      <c r="I44" s="82"/>
      <c r="J44" s="82"/>
      <c r="K44" s="82"/>
    </row>
    <row r="45" spans="1:11" ht="18" thickBot="1" x14ac:dyDescent="0.4">
      <c r="A45" s="221" t="s">
        <v>490</v>
      </c>
      <c r="B45" s="222"/>
      <c r="C45" s="222"/>
      <c r="D45" s="222"/>
      <c r="E45" s="222"/>
      <c r="F45" s="222"/>
      <c r="G45" s="222"/>
      <c r="H45" s="222"/>
      <c r="I45" s="222"/>
      <c r="J45" s="222"/>
      <c r="K45" s="223"/>
    </row>
    <row r="46" spans="1:11" ht="15.5" x14ac:dyDescent="0.25">
      <c r="A46" s="232" t="s">
        <v>491</v>
      </c>
      <c r="B46" s="225"/>
      <c r="C46" s="225"/>
      <c r="D46" s="225"/>
      <c r="E46" s="225"/>
      <c r="F46" s="225"/>
      <c r="G46" s="225"/>
      <c r="H46" s="225"/>
      <c r="I46" s="225"/>
      <c r="J46" s="225"/>
      <c r="K46" s="226"/>
    </row>
    <row r="47" spans="1:11" ht="15.5" x14ac:dyDescent="0.35">
      <c r="A47" s="84"/>
      <c r="B47" s="81" t="s">
        <v>492</v>
      </c>
      <c r="C47" s="81"/>
      <c r="D47" s="81"/>
      <c r="E47" s="81"/>
      <c r="F47" s="81"/>
      <c r="G47" s="81"/>
      <c r="H47" s="81"/>
      <c r="I47" s="81"/>
      <c r="J47" s="81"/>
      <c r="K47" s="169"/>
    </row>
    <row r="48" spans="1:11" ht="15.5" x14ac:dyDescent="0.35">
      <c r="A48" s="84"/>
      <c r="B48" s="81" t="s">
        <v>493</v>
      </c>
      <c r="C48" s="81"/>
      <c r="D48" s="81"/>
      <c r="E48" s="81"/>
      <c r="F48" s="81"/>
      <c r="G48" s="81"/>
      <c r="H48" s="81"/>
      <c r="I48" s="81"/>
      <c r="J48" s="81"/>
      <c r="K48" s="169"/>
    </row>
    <row r="49" spans="1:11" ht="15.5" x14ac:dyDescent="0.35">
      <c r="A49" s="84"/>
      <c r="B49" s="172" t="s">
        <v>494</v>
      </c>
      <c r="C49" s="81"/>
      <c r="D49" s="81"/>
      <c r="E49" s="81"/>
      <c r="F49" s="81"/>
      <c r="G49" s="81"/>
      <c r="H49" s="81"/>
      <c r="I49" s="81"/>
      <c r="J49" s="81"/>
      <c r="K49" s="169"/>
    </row>
    <row r="50" spans="1:11" ht="16" thickBot="1" x14ac:dyDescent="0.4">
      <c r="A50" s="84"/>
      <c r="B50" s="86" t="s">
        <v>501</v>
      </c>
      <c r="C50" s="81"/>
      <c r="D50" s="81"/>
      <c r="E50" s="81"/>
      <c r="F50" s="81"/>
      <c r="G50" s="81"/>
      <c r="H50" s="81"/>
      <c r="I50" s="81"/>
      <c r="J50" s="81"/>
      <c r="K50" s="169"/>
    </row>
    <row r="51" spans="1:11" ht="15.5" x14ac:dyDescent="0.35">
      <c r="A51" s="84"/>
      <c r="B51" s="81"/>
      <c r="C51" s="81"/>
      <c r="D51" s="81"/>
      <c r="E51" s="81"/>
      <c r="F51" s="81"/>
      <c r="G51" s="81"/>
      <c r="H51" s="81"/>
      <c r="I51" s="81"/>
      <c r="J51" s="81"/>
      <c r="K51" s="169"/>
    </row>
    <row r="52" spans="1:11" x14ac:dyDescent="0.25">
      <c r="A52" s="230" t="s">
        <v>495</v>
      </c>
      <c r="B52" s="228"/>
      <c r="C52" s="228"/>
      <c r="D52" s="228"/>
      <c r="E52" s="228"/>
      <c r="F52" s="228"/>
      <c r="G52" s="228"/>
      <c r="H52" s="228"/>
      <c r="I52" s="228"/>
      <c r="J52" s="228"/>
      <c r="K52" s="229"/>
    </row>
    <row r="53" spans="1:11" x14ac:dyDescent="0.25">
      <c r="A53" s="227"/>
      <c r="B53" s="228"/>
      <c r="C53" s="228"/>
      <c r="D53" s="228"/>
      <c r="E53" s="228"/>
      <c r="F53" s="228"/>
      <c r="G53" s="228"/>
      <c r="H53" s="228"/>
      <c r="I53" s="228"/>
      <c r="J53" s="228"/>
      <c r="K53" s="229"/>
    </row>
    <row r="54" spans="1:11" ht="15.5" x14ac:dyDescent="0.35">
      <c r="A54" s="84"/>
      <c r="B54" s="81"/>
      <c r="C54" s="81"/>
      <c r="D54" s="81"/>
      <c r="E54" s="81"/>
      <c r="F54" s="81"/>
      <c r="G54" s="81"/>
      <c r="H54" s="81"/>
      <c r="I54" s="81"/>
      <c r="J54" s="81"/>
      <c r="K54" s="169"/>
    </row>
    <row r="55" spans="1:11" ht="15.5" x14ac:dyDescent="0.25">
      <c r="A55" s="231" t="s">
        <v>496</v>
      </c>
      <c r="B55" s="228"/>
      <c r="C55" s="228"/>
      <c r="D55" s="228"/>
      <c r="E55" s="228"/>
      <c r="F55" s="228"/>
      <c r="G55" s="228"/>
      <c r="H55" s="228"/>
      <c r="I55" s="228"/>
      <c r="J55" s="228"/>
      <c r="K55" s="229"/>
    </row>
    <row r="56" spans="1:11" ht="15.5" x14ac:dyDescent="0.25">
      <c r="A56" s="173"/>
      <c r="B56" s="174" t="s">
        <v>497</v>
      </c>
      <c r="C56" s="175"/>
      <c r="D56" s="175"/>
      <c r="E56" s="175"/>
      <c r="F56" s="175"/>
      <c r="G56" s="175"/>
      <c r="H56" s="175"/>
      <c r="I56" s="175"/>
      <c r="J56" s="175"/>
      <c r="K56" s="176"/>
    </row>
    <row r="57" spans="1:11" ht="15.5" x14ac:dyDescent="0.35">
      <c r="A57" s="177"/>
      <c r="B57" s="81" t="s">
        <v>498</v>
      </c>
      <c r="C57" s="81"/>
      <c r="D57" s="81"/>
      <c r="E57" s="81"/>
      <c r="F57" s="81"/>
      <c r="G57" s="81"/>
      <c r="H57" s="81"/>
      <c r="I57" s="81"/>
      <c r="J57" s="81"/>
      <c r="K57" s="169"/>
    </row>
    <row r="58" spans="1:11" ht="16" thickBot="1" x14ac:dyDescent="0.4">
      <c r="A58" s="178"/>
      <c r="B58" s="86" t="s">
        <v>501</v>
      </c>
      <c r="C58" s="86"/>
      <c r="D58" s="86"/>
      <c r="E58" s="86"/>
      <c r="F58" s="86"/>
      <c r="G58" s="86"/>
      <c r="H58" s="86"/>
      <c r="I58" s="86"/>
      <c r="J58" s="86"/>
      <c r="K58" s="171"/>
    </row>
  </sheetData>
  <mergeCells count="10">
    <mergeCell ref="A1:K1"/>
    <mergeCell ref="A18:K18"/>
    <mergeCell ref="A19:K20"/>
    <mergeCell ref="A25:K26"/>
    <mergeCell ref="A55:K55"/>
    <mergeCell ref="A31:K32"/>
    <mergeCell ref="A37:K38"/>
    <mergeCell ref="A45:K45"/>
    <mergeCell ref="A46:K46"/>
    <mergeCell ref="A52:K5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1D842-F74A-486C-8AC7-DFF0AA04F0FD}">
  <sheetPr codeName="Feuil4"/>
  <dimension ref="A1:O195"/>
  <sheetViews>
    <sheetView topLeftCell="A155" zoomScale="85" zoomScaleNormal="85" workbookViewId="0">
      <selection activeCell="D76" sqref="D76"/>
    </sheetView>
  </sheetViews>
  <sheetFormatPr baseColWidth="10" defaultRowHeight="12.5" x14ac:dyDescent="0.25"/>
  <cols>
    <col min="1" max="1" width="39.54296875" bestFit="1" customWidth="1"/>
    <col min="2" max="2" width="13.7265625" bestFit="1" customWidth="1"/>
    <col min="3" max="3" width="21.36328125" bestFit="1" customWidth="1"/>
    <col min="4" max="4" width="19.26953125" customWidth="1"/>
    <col min="6" max="6" width="11.453125" bestFit="1" customWidth="1"/>
  </cols>
  <sheetData>
    <row r="1" spans="1:15" ht="22.5" x14ac:dyDescent="0.45">
      <c r="A1" s="233" t="s">
        <v>402</v>
      </c>
      <c r="B1" s="234"/>
      <c r="C1" s="234"/>
      <c r="D1" s="234"/>
      <c r="E1" s="234"/>
      <c r="F1" s="234"/>
      <c r="G1" s="234"/>
      <c r="H1" s="234"/>
      <c r="I1" s="234"/>
      <c r="J1" s="234"/>
      <c r="K1" s="234"/>
      <c r="L1" s="234"/>
      <c r="M1" s="234"/>
      <c r="N1" s="234"/>
      <c r="O1" s="235"/>
    </row>
    <row r="2" spans="1:15" ht="56" x14ac:dyDescent="0.25">
      <c r="A2" s="183" t="s">
        <v>403</v>
      </c>
      <c r="B2" s="153" t="s">
        <v>404</v>
      </c>
      <c r="C2" s="153" t="s">
        <v>405</v>
      </c>
      <c r="D2" s="153" t="s">
        <v>406</v>
      </c>
      <c r="E2" s="153" t="s">
        <v>407</v>
      </c>
      <c r="F2" s="153" t="s">
        <v>463</v>
      </c>
      <c r="G2" s="153" t="s">
        <v>464</v>
      </c>
      <c r="H2" s="153" t="s">
        <v>58</v>
      </c>
      <c r="I2" s="153" t="s">
        <v>160</v>
      </c>
      <c r="J2" s="153" t="s">
        <v>55</v>
      </c>
      <c r="K2" s="153" t="s">
        <v>56</v>
      </c>
      <c r="L2" s="153" t="s">
        <v>57</v>
      </c>
      <c r="M2" s="153" t="s">
        <v>164</v>
      </c>
      <c r="N2" s="153" t="s">
        <v>44</v>
      </c>
      <c r="O2" s="153" t="s">
        <v>128</v>
      </c>
    </row>
    <row r="3" spans="1:15" ht="14" x14ac:dyDescent="0.25">
      <c r="A3" s="156" t="s">
        <v>465</v>
      </c>
      <c r="B3" s="157"/>
      <c r="C3" s="157"/>
      <c r="D3" s="166">
        <v>46024</v>
      </c>
      <c r="E3" s="167">
        <v>24</v>
      </c>
      <c r="F3" s="181">
        <v>46048</v>
      </c>
      <c r="G3" s="167">
        <v>206</v>
      </c>
      <c r="H3" s="158"/>
      <c r="I3" s="158"/>
      <c r="J3" s="158"/>
      <c r="K3" s="158"/>
      <c r="L3" s="158"/>
      <c r="M3" s="158"/>
      <c r="N3" s="158"/>
      <c r="O3" s="158"/>
    </row>
    <row r="4" spans="1:15" ht="14" x14ac:dyDescent="0.25">
      <c r="A4" s="159" t="s">
        <v>408</v>
      </c>
      <c r="B4" s="160" t="s">
        <v>35</v>
      </c>
      <c r="C4" s="160" t="s">
        <v>409</v>
      </c>
      <c r="D4" s="184">
        <v>46024</v>
      </c>
      <c r="E4" s="185">
        <v>1</v>
      </c>
      <c r="F4" s="186">
        <v>46024</v>
      </c>
      <c r="G4" s="185">
        <v>3</v>
      </c>
      <c r="H4" s="185" t="s">
        <v>410</v>
      </c>
      <c r="I4" s="185" t="s">
        <v>411</v>
      </c>
      <c r="J4" s="185" t="s">
        <v>411</v>
      </c>
      <c r="K4" s="185" t="s">
        <v>411</v>
      </c>
      <c r="L4" s="185" t="s">
        <v>411</v>
      </c>
      <c r="M4" s="185" t="s">
        <v>411</v>
      </c>
      <c r="N4" s="185" t="s">
        <v>411</v>
      </c>
      <c r="O4" s="185" t="s">
        <v>411</v>
      </c>
    </row>
    <row r="5" spans="1:15" ht="14" x14ac:dyDescent="0.25">
      <c r="A5" s="159" t="s">
        <v>412</v>
      </c>
      <c r="B5" s="160" t="s">
        <v>35</v>
      </c>
      <c r="C5" s="160" t="s">
        <v>409</v>
      </c>
      <c r="D5" s="184">
        <v>46027</v>
      </c>
      <c r="E5" s="185">
        <f>F5-D5</f>
        <v>4</v>
      </c>
      <c r="F5" s="186">
        <v>46031</v>
      </c>
      <c r="G5" s="185">
        <v>75</v>
      </c>
      <c r="H5" s="185" t="s">
        <v>410</v>
      </c>
      <c r="I5" s="185" t="s">
        <v>411</v>
      </c>
      <c r="J5" s="185" t="s">
        <v>413</v>
      </c>
      <c r="K5" s="185" t="s">
        <v>413</v>
      </c>
      <c r="L5" s="185" t="s">
        <v>411</v>
      </c>
      <c r="M5" s="185" t="s">
        <v>413</v>
      </c>
      <c r="N5" s="185" t="s">
        <v>411</v>
      </c>
      <c r="O5" s="185"/>
    </row>
    <row r="6" spans="1:15" ht="28" x14ac:dyDescent="0.25">
      <c r="A6" s="159" t="s">
        <v>414</v>
      </c>
      <c r="B6" s="160" t="s">
        <v>35</v>
      </c>
      <c r="C6" s="160" t="s">
        <v>409</v>
      </c>
      <c r="D6" s="184">
        <v>46034</v>
      </c>
      <c r="E6" s="185">
        <f>F6-D6</f>
        <v>4</v>
      </c>
      <c r="F6" s="186">
        <v>46038</v>
      </c>
      <c r="G6" s="185">
        <v>50</v>
      </c>
      <c r="H6" s="185" t="s">
        <v>410</v>
      </c>
      <c r="I6" s="185" t="s">
        <v>411</v>
      </c>
      <c r="J6" s="185" t="s">
        <v>411</v>
      </c>
      <c r="K6" s="185" t="s">
        <v>411</v>
      </c>
      <c r="L6" s="185" t="s">
        <v>411</v>
      </c>
      <c r="M6" s="185" t="s">
        <v>413</v>
      </c>
      <c r="N6" s="185" t="s">
        <v>411</v>
      </c>
      <c r="O6" s="185"/>
    </row>
    <row r="7" spans="1:15" ht="28" x14ac:dyDescent="0.25">
      <c r="A7" s="159" t="s">
        <v>415</v>
      </c>
      <c r="B7" s="160" t="s">
        <v>35</v>
      </c>
      <c r="C7" s="160" t="s">
        <v>409</v>
      </c>
      <c r="D7" s="184">
        <v>46041</v>
      </c>
      <c r="E7" s="185">
        <f>F7-D7</f>
        <v>4</v>
      </c>
      <c r="F7" s="186">
        <v>46045</v>
      </c>
      <c r="G7" s="185">
        <v>75</v>
      </c>
      <c r="H7" s="185" t="s">
        <v>410</v>
      </c>
      <c r="I7" s="185" t="s">
        <v>411</v>
      </c>
      <c r="J7" s="185" t="s">
        <v>411</v>
      </c>
      <c r="K7" s="185" t="s">
        <v>411</v>
      </c>
      <c r="L7" s="185" t="s">
        <v>411</v>
      </c>
      <c r="M7" s="185" t="s">
        <v>413</v>
      </c>
      <c r="N7" s="185" t="s">
        <v>411</v>
      </c>
      <c r="O7" s="185"/>
    </row>
    <row r="8" spans="1:15" ht="28" x14ac:dyDescent="0.25">
      <c r="A8" s="159" t="s">
        <v>416</v>
      </c>
      <c r="B8" s="160" t="s">
        <v>417</v>
      </c>
      <c r="C8" s="160" t="s">
        <v>409</v>
      </c>
      <c r="D8" s="184">
        <f>D4+24</f>
        <v>46048</v>
      </c>
      <c r="E8" s="185">
        <v>1</v>
      </c>
      <c r="F8" s="186">
        <v>46048</v>
      </c>
      <c r="G8" s="185">
        <v>3</v>
      </c>
      <c r="H8" s="185" t="s">
        <v>410</v>
      </c>
      <c r="I8" s="185" t="s">
        <v>413</v>
      </c>
      <c r="J8" s="185" t="s">
        <v>413</v>
      </c>
      <c r="K8" s="185" t="s">
        <v>413</v>
      </c>
      <c r="L8" s="185" t="s">
        <v>413</v>
      </c>
      <c r="M8" s="185" t="s">
        <v>413</v>
      </c>
      <c r="N8" s="185" t="s">
        <v>413</v>
      </c>
      <c r="O8" s="185" t="s">
        <v>413</v>
      </c>
    </row>
    <row r="9" spans="1:15" ht="14" x14ac:dyDescent="0.25">
      <c r="A9" s="156" t="s">
        <v>466</v>
      </c>
      <c r="B9" s="165"/>
      <c r="C9" s="165"/>
      <c r="D9" s="166">
        <v>46048</v>
      </c>
      <c r="E9" s="167">
        <v>4</v>
      </c>
      <c r="F9" s="181">
        <v>46052</v>
      </c>
      <c r="G9" s="167">
        <v>328</v>
      </c>
      <c r="H9" s="167"/>
      <c r="I9" s="167"/>
      <c r="J9" s="167"/>
      <c r="K9" s="167"/>
      <c r="L9" s="167"/>
      <c r="M9" s="167"/>
      <c r="N9" s="167"/>
      <c r="O9" s="167"/>
    </row>
    <row r="10" spans="1:15" ht="28" x14ac:dyDescent="0.25">
      <c r="A10" s="159" t="s">
        <v>418</v>
      </c>
      <c r="B10" s="160" t="s">
        <v>35</v>
      </c>
      <c r="C10" s="160" t="s">
        <v>160</v>
      </c>
      <c r="D10" s="184">
        <v>46048</v>
      </c>
      <c r="E10" s="185">
        <f>F10-D10</f>
        <v>4</v>
      </c>
      <c r="F10" s="186">
        <v>46052</v>
      </c>
      <c r="G10" s="185">
        <v>100</v>
      </c>
      <c r="H10" s="185" t="s">
        <v>411</v>
      </c>
      <c r="I10" s="185" t="s">
        <v>410</v>
      </c>
      <c r="J10" s="185" t="s">
        <v>411</v>
      </c>
      <c r="K10" s="185" t="s">
        <v>419</v>
      </c>
      <c r="L10" s="185" t="s">
        <v>419</v>
      </c>
      <c r="M10" s="185" t="s">
        <v>411</v>
      </c>
      <c r="N10" s="185" t="s">
        <v>411</v>
      </c>
      <c r="O10" s="185"/>
    </row>
    <row r="11" spans="1:15" ht="14" x14ac:dyDescent="0.25">
      <c r="A11" s="159" t="s">
        <v>420</v>
      </c>
      <c r="B11" s="160" t="s">
        <v>35</v>
      </c>
      <c r="C11" s="160" t="s">
        <v>160</v>
      </c>
      <c r="D11" s="184">
        <v>46048</v>
      </c>
      <c r="E11" s="185">
        <f>F11-D11</f>
        <v>4</v>
      </c>
      <c r="F11" s="186">
        <v>46052</v>
      </c>
      <c r="G11" s="185">
        <v>50</v>
      </c>
      <c r="H11" s="185" t="s">
        <v>411</v>
      </c>
      <c r="I11" s="185" t="s">
        <v>410</v>
      </c>
      <c r="J11" s="185" t="s">
        <v>419</v>
      </c>
      <c r="K11" s="185" t="s">
        <v>410</v>
      </c>
      <c r="L11" s="185" t="s">
        <v>419</v>
      </c>
      <c r="M11" s="185" t="s">
        <v>411</v>
      </c>
      <c r="N11" s="185" t="s">
        <v>411</v>
      </c>
      <c r="O11" s="185"/>
    </row>
    <row r="12" spans="1:15" ht="28" x14ac:dyDescent="0.25">
      <c r="A12" s="159" t="s">
        <v>421</v>
      </c>
      <c r="B12" s="160" t="s">
        <v>35</v>
      </c>
      <c r="C12" s="160" t="s">
        <v>160</v>
      </c>
      <c r="D12" s="184">
        <v>46048</v>
      </c>
      <c r="E12" s="185">
        <f>F12-D12</f>
        <v>4</v>
      </c>
      <c r="F12" s="186">
        <v>46052</v>
      </c>
      <c r="G12" s="185">
        <v>100</v>
      </c>
      <c r="H12" s="185" t="s">
        <v>411</v>
      </c>
      <c r="I12" s="185" t="s">
        <v>410</v>
      </c>
      <c r="J12" s="185" t="s">
        <v>419</v>
      </c>
      <c r="K12" s="185" t="s">
        <v>410</v>
      </c>
      <c r="L12" s="185" t="s">
        <v>419</v>
      </c>
      <c r="M12" s="185" t="s">
        <v>411</v>
      </c>
      <c r="N12" s="185" t="s">
        <v>411</v>
      </c>
      <c r="O12" s="185"/>
    </row>
    <row r="13" spans="1:15" ht="14" x14ac:dyDescent="0.25">
      <c r="A13" s="159" t="s">
        <v>422</v>
      </c>
      <c r="B13" s="160" t="s">
        <v>35</v>
      </c>
      <c r="C13" s="160" t="s">
        <v>409</v>
      </c>
      <c r="D13" s="184">
        <v>46052</v>
      </c>
      <c r="E13" s="185">
        <v>1</v>
      </c>
      <c r="F13" s="184">
        <v>46052</v>
      </c>
      <c r="G13" s="185">
        <v>75</v>
      </c>
      <c r="H13" s="185" t="s">
        <v>410</v>
      </c>
      <c r="I13" s="185" t="s">
        <v>411</v>
      </c>
      <c r="J13" s="185" t="s">
        <v>411</v>
      </c>
      <c r="K13" s="185" t="s">
        <v>411</v>
      </c>
      <c r="L13" s="185" t="s">
        <v>411</v>
      </c>
      <c r="M13" s="185" t="s">
        <v>413</v>
      </c>
      <c r="N13" s="185" t="s">
        <v>411</v>
      </c>
      <c r="O13" s="185"/>
    </row>
    <row r="14" spans="1:15" ht="28" x14ac:dyDescent="0.25">
      <c r="A14" s="159" t="s">
        <v>423</v>
      </c>
      <c r="B14" s="160" t="s">
        <v>417</v>
      </c>
      <c r="C14" s="160" t="s">
        <v>409</v>
      </c>
      <c r="D14" s="184">
        <v>46052</v>
      </c>
      <c r="E14" s="185">
        <v>1</v>
      </c>
      <c r="F14" s="184">
        <v>46052</v>
      </c>
      <c r="G14" s="185">
        <v>3</v>
      </c>
      <c r="H14" s="185" t="s">
        <v>410</v>
      </c>
      <c r="I14" s="185" t="s">
        <v>411</v>
      </c>
      <c r="J14" s="185" t="s">
        <v>411</v>
      </c>
      <c r="K14" s="185" t="s">
        <v>411</v>
      </c>
      <c r="L14" s="185" t="s">
        <v>411</v>
      </c>
      <c r="M14" s="185" t="s">
        <v>413</v>
      </c>
      <c r="N14" s="185" t="s">
        <v>411</v>
      </c>
      <c r="O14" s="185"/>
    </row>
    <row r="15" spans="1:15" ht="14" x14ac:dyDescent="0.25">
      <c r="A15" s="156" t="s">
        <v>502</v>
      </c>
      <c r="B15" s="165"/>
      <c r="C15" s="165"/>
      <c r="D15" s="166">
        <v>46055</v>
      </c>
      <c r="E15" s="167">
        <v>25</v>
      </c>
      <c r="F15" s="181">
        <v>46080</v>
      </c>
      <c r="G15" s="167">
        <v>73</v>
      </c>
      <c r="H15" s="167"/>
      <c r="I15" s="167"/>
      <c r="J15" s="167"/>
      <c r="K15" s="167"/>
      <c r="L15" s="167"/>
      <c r="M15" s="167"/>
      <c r="N15" s="167"/>
      <c r="O15" s="167"/>
    </row>
    <row r="16" spans="1:15" ht="28" x14ac:dyDescent="0.25">
      <c r="A16" s="159" t="s">
        <v>424</v>
      </c>
      <c r="B16" s="160" t="s">
        <v>35</v>
      </c>
      <c r="C16" s="160" t="s">
        <v>425</v>
      </c>
      <c r="D16" s="184">
        <v>46055</v>
      </c>
      <c r="E16" s="185">
        <f>F16-D16</f>
        <v>4</v>
      </c>
      <c r="F16" s="186">
        <v>46059</v>
      </c>
      <c r="G16" s="185">
        <v>30</v>
      </c>
      <c r="H16" s="185" t="s">
        <v>411</v>
      </c>
      <c r="I16" s="185" t="s">
        <v>419</v>
      </c>
      <c r="J16" s="185" t="s">
        <v>419</v>
      </c>
      <c r="K16" s="185" t="s">
        <v>410</v>
      </c>
      <c r="L16" s="185" t="s">
        <v>411</v>
      </c>
      <c r="M16" s="185" t="s">
        <v>413</v>
      </c>
      <c r="N16" s="185" t="s">
        <v>413</v>
      </c>
      <c r="O16" s="185"/>
    </row>
    <row r="17" spans="1:15" ht="28" x14ac:dyDescent="0.25">
      <c r="A17" s="159" t="s">
        <v>426</v>
      </c>
      <c r="B17" s="160" t="s">
        <v>35</v>
      </c>
      <c r="C17" s="160" t="s">
        <v>425</v>
      </c>
      <c r="D17" s="184">
        <v>46059</v>
      </c>
      <c r="E17" s="185">
        <f>F17-D17</f>
        <v>21</v>
      </c>
      <c r="F17" s="186">
        <v>46080</v>
      </c>
      <c r="G17" s="185">
        <v>30</v>
      </c>
      <c r="H17" s="185" t="s">
        <v>427</v>
      </c>
      <c r="I17" s="185" t="s">
        <v>413</v>
      </c>
      <c r="J17" s="185" t="s">
        <v>419</v>
      </c>
      <c r="K17" s="185" t="s">
        <v>419</v>
      </c>
      <c r="L17" s="185" t="s">
        <v>413</v>
      </c>
      <c r="M17" s="185" t="s">
        <v>413</v>
      </c>
      <c r="N17" s="185" t="s">
        <v>413</v>
      </c>
      <c r="O17" s="185"/>
    </row>
    <row r="18" spans="1:15" ht="14" x14ac:dyDescent="0.25">
      <c r="A18" s="159" t="s">
        <v>428</v>
      </c>
      <c r="B18" s="160" t="s">
        <v>35</v>
      </c>
      <c r="C18" s="160" t="s">
        <v>128</v>
      </c>
      <c r="D18" s="186">
        <v>46080</v>
      </c>
      <c r="E18" s="185">
        <v>1</v>
      </c>
      <c r="F18" s="186">
        <v>46080</v>
      </c>
      <c r="G18" s="185">
        <v>10</v>
      </c>
      <c r="H18" s="185"/>
      <c r="I18" s="185"/>
      <c r="J18" s="185" t="s">
        <v>411</v>
      </c>
      <c r="K18" s="185" t="s">
        <v>411</v>
      </c>
      <c r="L18" s="185"/>
      <c r="M18" s="185"/>
      <c r="N18" s="185"/>
      <c r="O18" s="185" t="s">
        <v>410</v>
      </c>
    </row>
    <row r="19" spans="1:15" ht="28" x14ac:dyDescent="0.25">
      <c r="A19" s="159" t="s">
        <v>429</v>
      </c>
      <c r="B19" s="160" t="s">
        <v>417</v>
      </c>
      <c r="C19" s="160" t="s">
        <v>409</v>
      </c>
      <c r="D19" s="186">
        <v>46080</v>
      </c>
      <c r="E19" s="185">
        <v>1</v>
      </c>
      <c r="F19" s="186">
        <v>46080</v>
      </c>
      <c r="G19" s="185">
        <v>3</v>
      </c>
      <c r="H19" s="185" t="s">
        <v>410</v>
      </c>
      <c r="I19" s="185" t="s">
        <v>411</v>
      </c>
      <c r="J19" s="185" t="s">
        <v>411</v>
      </c>
      <c r="K19" s="185" t="s">
        <v>411</v>
      </c>
      <c r="L19" s="185" t="s">
        <v>413</v>
      </c>
      <c r="M19" s="185" t="s">
        <v>413</v>
      </c>
      <c r="N19" s="185" t="s">
        <v>411</v>
      </c>
      <c r="O19" s="185" t="s">
        <v>411</v>
      </c>
    </row>
    <row r="20" spans="1:15" ht="14" x14ac:dyDescent="0.25">
      <c r="A20" s="156" t="s">
        <v>504</v>
      </c>
      <c r="B20" s="165"/>
      <c r="C20" s="165"/>
      <c r="D20" s="166">
        <v>46083</v>
      </c>
      <c r="E20" s="167">
        <f>F20-D20</f>
        <v>23</v>
      </c>
      <c r="F20" s="181">
        <v>46106</v>
      </c>
      <c r="G20" s="167">
        <v>43</v>
      </c>
      <c r="H20" s="167"/>
      <c r="I20" s="167"/>
      <c r="J20" s="167"/>
      <c r="K20" s="167"/>
      <c r="L20" s="167"/>
      <c r="M20" s="167"/>
      <c r="N20" s="167"/>
      <c r="O20" s="167"/>
    </row>
    <row r="21" spans="1:15" ht="42" x14ac:dyDescent="0.25">
      <c r="A21" s="159" t="s">
        <v>430</v>
      </c>
      <c r="B21" s="160" t="s">
        <v>35</v>
      </c>
      <c r="C21" s="160" t="s">
        <v>425</v>
      </c>
      <c r="D21" s="184">
        <v>46083</v>
      </c>
      <c r="E21" s="185">
        <f>F21-D21</f>
        <v>18</v>
      </c>
      <c r="F21" s="186">
        <v>46101</v>
      </c>
      <c r="G21" s="185">
        <v>30</v>
      </c>
      <c r="H21" s="185" t="s">
        <v>411</v>
      </c>
      <c r="I21" s="185"/>
      <c r="J21" s="185" t="s">
        <v>419</v>
      </c>
      <c r="K21" s="185" t="s">
        <v>410</v>
      </c>
      <c r="L21" s="185"/>
      <c r="M21" s="185"/>
      <c r="N21" s="185" t="s">
        <v>411</v>
      </c>
      <c r="O21" s="185"/>
    </row>
    <row r="22" spans="1:15" ht="28" x14ac:dyDescent="0.25">
      <c r="A22" s="159" t="s">
        <v>431</v>
      </c>
      <c r="B22" s="160" t="s">
        <v>35</v>
      </c>
      <c r="C22" s="160" t="s">
        <v>128</v>
      </c>
      <c r="D22" s="184">
        <v>46104</v>
      </c>
      <c r="E22" s="185">
        <f>F22-D22</f>
        <v>2</v>
      </c>
      <c r="F22" s="186">
        <v>46106</v>
      </c>
      <c r="G22" s="185">
        <v>10</v>
      </c>
      <c r="H22" s="185"/>
      <c r="I22" s="185"/>
      <c r="J22" s="185" t="s">
        <v>411</v>
      </c>
      <c r="K22" s="185" t="s">
        <v>411</v>
      </c>
      <c r="L22" s="185"/>
      <c r="M22" s="185"/>
      <c r="N22" s="185"/>
      <c r="O22" s="185" t="s">
        <v>410</v>
      </c>
    </row>
    <row r="23" spans="1:15" ht="28" x14ac:dyDescent="0.25">
      <c r="A23" s="159" t="s">
        <v>432</v>
      </c>
      <c r="B23" s="160" t="s">
        <v>417</v>
      </c>
      <c r="C23" s="160" t="s">
        <v>409</v>
      </c>
      <c r="D23" s="184">
        <v>46106</v>
      </c>
      <c r="E23" s="185">
        <v>1</v>
      </c>
      <c r="F23" s="184">
        <v>46106</v>
      </c>
      <c r="G23" s="185">
        <v>3</v>
      </c>
      <c r="H23" s="185" t="s">
        <v>410</v>
      </c>
      <c r="I23" s="185" t="s">
        <v>411</v>
      </c>
      <c r="J23" s="185" t="s">
        <v>411</v>
      </c>
      <c r="K23" s="185" t="s">
        <v>411</v>
      </c>
      <c r="L23" s="185" t="s">
        <v>413</v>
      </c>
      <c r="M23" s="185" t="s">
        <v>413</v>
      </c>
      <c r="N23" s="185" t="s">
        <v>411</v>
      </c>
      <c r="O23" s="185" t="s">
        <v>411</v>
      </c>
    </row>
    <row r="24" spans="1:15" ht="14" x14ac:dyDescent="0.25">
      <c r="A24" s="156" t="s">
        <v>505</v>
      </c>
      <c r="B24" s="165"/>
      <c r="C24" s="165"/>
      <c r="D24" s="166">
        <v>46111</v>
      </c>
      <c r="E24" s="167">
        <f t="shared" ref="E24:E48" si="0">F24-D24</f>
        <v>28</v>
      </c>
      <c r="F24" s="181">
        <v>46139</v>
      </c>
      <c r="G24" s="167">
        <v>100</v>
      </c>
      <c r="H24" s="167"/>
      <c r="I24" s="167"/>
      <c r="J24" s="167"/>
      <c r="K24" s="167"/>
      <c r="L24" s="167"/>
      <c r="M24" s="167"/>
      <c r="N24" s="167"/>
      <c r="O24" s="167"/>
    </row>
    <row r="25" spans="1:15" ht="14" x14ac:dyDescent="0.25">
      <c r="A25" s="161" t="s">
        <v>433</v>
      </c>
      <c r="B25" s="162" t="s">
        <v>35</v>
      </c>
      <c r="C25" s="162" t="s">
        <v>434</v>
      </c>
      <c r="D25" s="163">
        <v>46111</v>
      </c>
      <c r="E25" s="164">
        <f t="shared" si="0"/>
        <v>28</v>
      </c>
      <c r="F25" s="180">
        <v>46139</v>
      </c>
      <c r="G25" s="164">
        <v>100</v>
      </c>
      <c r="H25" s="164" t="s">
        <v>411</v>
      </c>
      <c r="I25" s="164"/>
      <c r="J25" s="164" t="s">
        <v>419</v>
      </c>
      <c r="K25" s="164" t="s">
        <v>419</v>
      </c>
      <c r="L25" s="164" t="s">
        <v>410</v>
      </c>
      <c r="M25" s="164" t="s">
        <v>419</v>
      </c>
      <c r="N25" s="164"/>
      <c r="O25" s="164"/>
    </row>
    <row r="26" spans="1:15" ht="14" x14ac:dyDescent="0.25">
      <c r="A26" s="156" t="s">
        <v>506</v>
      </c>
      <c r="B26" s="165"/>
      <c r="C26" s="165"/>
      <c r="D26" s="166">
        <v>46140</v>
      </c>
      <c r="E26" s="167">
        <f t="shared" si="0"/>
        <v>28</v>
      </c>
      <c r="F26" s="181">
        <v>46168</v>
      </c>
      <c r="G26" s="167">
        <v>100</v>
      </c>
      <c r="H26" s="167"/>
      <c r="I26" s="167"/>
      <c r="J26" s="167"/>
      <c r="K26" s="167"/>
      <c r="L26" s="167"/>
      <c r="M26" s="167"/>
      <c r="N26" s="167"/>
      <c r="O26" s="167"/>
    </row>
    <row r="27" spans="1:15" ht="14" x14ac:dyDescent="0.25">
      <c r="A27" s="161" t="s">
        <v>433</v>
      </c>
      <c r="B27" s="162" t="s">
        <v>35</v>
      </c>
      <c r="C27" s="162" t="s">
        <v>434</v>
      </c>
      <c r="D27" s="163">
        <v>46140</v>
      </c>
      <c r="E27" s="164">
        <f t="shared" si="0"/>
        <v>28</v>
      </c>
      <c r="F27" s="180">
        <v>46168</v>
      </c>
      <c r="G27" s="164">
        <v>100</v>
      </c>
      <c r="H27" s="164" t="s">
        <v>411</v>
      </c>
      <c r="I27" s="164"/>
      <c r="J27" s="164" t="s">
        <v>419</v>
      </c>
      <c r="K27" s="164" t="s">
        <v>419</v>
      </c>
      <c r="L27" s="164" t="s">
        <v>410</v>
      </c>
      <c r="M27" s="164" t="s">
        <v>419</v>
      </c>
      <c r="N27" s="164"/>
      <c r="O27" s="164"/>
    </row>
    <row r="28" spans="1:15" ht="14" x14ac:dyDescent="0.25">
      <c r="A28" s="156" t="s">
        <v>507</v>
      </c>
      <c r="B28" s="165"/>
      <c r="C28" s="165"/>
      <c r="D28" s="166">
        <v>46169</v>
      </c>
      <c r="E28" s="167">
        <f t="shared" si="0"/>
        <v>28</v>
      </c>
      <c r="F28" s="181">
        <v>46197</v>
      </c>
      <c r="G28" s="167">
        <v>100</v>
      </c>
      <c r="H28" s="167"/>
      <c r="I28" s="167"/>
      <c r="J28" s="167"/>
      <c r="K28" s="167"/>
      <c r="L28" s="167"/>
      <c r="M28" s="167"/>
      <c r="N28" s="167"/>
      <c r="O28" s="167"/>
    </row>
    <row r="29" spans="1:15" ht="14" x14ac:dyDescent="0.25">
      <c r="A29" s="161" t="s">
        <v>433</v>
      </c>
      <c r="B29" s="162" t="s">
        <v>35</v>
      </c>
      <c r="C29" s="162" t="s">
        <v>434</v>
      </c>
      <c r="D29" s="163">
        <v>46169</v>
      </c>
      <c r="E29" s="164">
        <f t="shared" si="0"/>
        <v>28</v>
      </c>
      <c r="F29" s="180">
        <v>46197</v>
      </c>
      <c r="G29" s="164">
        <v>100</v>
      </c>
      <c r="H29" s="164" t="s">
        <v>411</v>
      </c>
      <c r="I29" s="164"/>
      <c r="J29" s="164" t="s">
        <v>419</v>
      </c>
      <c r="K29" s="164" t="s">
        <v>419</v>
      </c>
      <c r="L29" s="164" t="s">
        <v>410</v>
      </c>
      <c r="M29" s="164" t="s">
        <v>419</v>
      </c>
      <c r="N29" s="164"/>
      <c r="O29" s="164"/>
    </row>
    <row r="30" spans="1:15" ht="14" x14ac:dyDescent="0.25">
      <c r="A30" s="156" t="s">
        <v>508</v>
      </c>
      <c r="B30" s="165"/>
      <c r="C30" s="165"/>
      <c r="D30" s="166">
        <v>46198</v>
      </c>
      <c r="E30" s="167">
        <f t="shared" si="0"/>
        <v>29</v>
      </c>
      <c r="F30" s="181">
        <v>46227</v>
      </c>
      <c r="G30" s="167">
        <v>100</v>
      </c>
      <c r="H30" s="167"/>
      <c r="I30" s="167"/>
      <c r="J30" s="167"/>
      <c r="K30" s="167"/>
      <c r="L30" s="167"/>
      <c r="M30" s="167"/>
      <c r="N30" s="167"/>
      <c r="O30" s="167"/>
    </row>
    <row r="31" spans="1:15" ht="14" x14ac:dyDescent="0.25">
      <c r="A31" s="161" t="s">
        <v>433</v>
      </c>
      <c r="B31" s="162" t="s">
        <v>35</v>
      </c>
      <c r="C31" s="162" t="s">
        <v>434</v>
      </c>
      <c r="D31" s="163">
        <v>46198</v>
      </c>
      <c r="E31" s="164">
        <f t="shared" si="0"/>
        <v>29</v>
      </c>
      <c r="F31" s="180">
        <v>46227</v>
      </c>
      <c r="G31" s="164">
        <v>100</v>
      </c>
      <c r="H31" s="164" t="s">
        <v>411</v>
      </c>
      <c r="I31" s="164"/>
      <c r="J31" s="164" t="s">
        <v>419</v>
      </c>
      <c r="K31" s="164" t="s">
        <v>419</v>
      </c>
      <c r="L31" s="164" t="s">
        <v>410</v>
      </c>
      <c r="M31" s="164" t="s">
        <v>419</v>
      </c>
      <c r="N31" s="164"/>
      <c r="O31" s="164"/>
    </row>
    <row r="32" spans="1:15" ht="14" x14ac:dyDescent="0.25">
      <c r="A32" s="156" t="s">
        <v>509</v>
      </c>
      <c r="B32" s="165"/>
      <c r="C32" s="165"/>
      <c r="D32" s="166">
        <v>46230</v>
      </c>
      <c r="E32" s="167">
        <f t="shared" si="0"/>
        <v>39</v>
      </c>
      <c r="F32" s="181">
        <v>46269</v>
      </c>
      <c r="G32" s="167">
        <v>100</v>
      </c>
      <c r="H32" s="167"/>
      <c r="I32" s="167"/>
      <c r="J32" s="167"/>
      <c r="K32" s="167"/>
      <c r="L32" s="167"/>
      <c r="M32" s="167"/>
      <c r="N32" s="167"/>
      <c r="O32" s="167"/>
    </row>
    <row r="33" spans="1:15" ht="14" x14ac:dyDescent="0.25">
      <c r="A33" s="161" t="s">
        <v>433</v>
      </c>
      <c r="B33" s="162" t="s">
        <v>35</v>
      </c>
      <c r="C33" s="162" t="s">
        <v>434</v>
      </c>
      <c r="D33" s="163">
        <v>46230</v>
      </c>
      <c r="E33" s="164">
        <f t="shared" si="0"/>
        <v>39</v>
      </c>
      <c r="F33" s="180">
        <v>46269</v>
      </c>
      <c r="G33" s="164">
        <v>100</v>
      </c>
      <c r="H33" s="164" t="s">
        <v>411</v>
      </c>
      <c r="I33" s="164"/>
      <c r="J33" s="164" t="s">
        <v>419</v>
      </c>
      <c r="K33" s="164" t="s">
        <v>419</v>
      </c>
      <c r="L33" s="164" t="s">
        <v>410</v>
      </c>
      <c r="M33" s="164" t="s">
        <v>419</v>
      </c>
      <c r="N33" s="164"/>
      <c r="O33" s="164"/>
    </row>
    <row r="34" spans="1:15" ht="14" x14ac:dyDescent="0.25">
      <c r="A34" s="156" t="s">
        <v>510</v>
      </c>
      <c r="B34" s="165"/>
      <c r="C34" s="165"/>
      <c r="D34" s="166">
        <v>46272</v>
      </c>
      <c r="E34" s="167">
        <f t="shared" si="0"/>
        <v>25</v>
      </c>
      <c r="F34" s="181">
        <v>46297</v>
      </c>
      <c r="G34" s="167">
        <v>100</v>
      </c>
      <c r="H34" s="167"/>
      <c r="I34" s="167"/>
      <c r="J34" s="167"/>
      <c r="K34" s="167"/>
      <c r="L34" s="167"/>
      <c r="M34" s="167"/>
      <c r="N34" s="167"/>
      <c r="O34" s="167"/>
    </row>
    <row r="35" spans="1:15" ht="14" x14ac:dyDescent="0.25">
      <c r="A35" s="161" t="s">
        <v>433</v>
      </c>
      <c r="B35" s="162" t="s">
        <v>35</v>
      </c>
      <c r="C35" s="162" t="s">
        <v>434</v>
      </c>
      <c r="D35" s="163">
        <v>46272</v>
      </c>
      <c r="E35" s="164">
        <f t="shared" si="0"/>
        <v>25</v>
      </c>
      <c r="F35" s="180">
        <v>46297</v>
      </c>
      <c r="G35" s="164">
        <v>100</v>
      </c>
      <c r="H35" s="164" t="s">
        <v>411</v>
      </c>
      <c r="I35" s="164"/>
      <c r="J35" s="164" t="s">
        <v>419</v>
      </c>
      <c r="K35" s="164" t="s">
        <v>419</v>
      </c>
      <c r="L35" s="164" t="s">
        <v>410</v>
      </c>
      <c r="M35" s="164" t="s">
        <v>419</v>
      </c>
      <c r="N35" s="164"/>
      <c r="O35" s="164"/>
    </row>
    <row r="36" spans="1:15" ht="14" x14ac:dyDescent="0.25">
      <c r="A36" s="156" t="s">
        <v>511</v>
      </c>
      <c r="B36" s="165"/>
      <c r="C36" s="165"/>
      <c r="D36" s="166">
        <v>46300</v>
      </c>
      <c r="E36" s="167">
        <f t="shared" si="0"/>
        <v>25</v>
      </c>
      <c r="F36" s="181">
        <v>46325</v>
      </c>
      <c r="G36" s="167">
        <v>100</v>
      </c>
      <c r="H36" s="167"/>
      <c r="I36" s="167"/>
      <c r="J36" s="167"/>
      <c r="K36" s="167"/>
      <c r="L36" s="167"/>
      <c r="M36" s="167"/>
      <c r="N36" s="167"/>
      <c r="O36" s="167"/>
    </row>
    <row r="37" spans="1:15" ht="14" x14ac:dyDescent="0.25">
      <c r="A37" s="161" t="s">
        <v>433</v>
      </c>
      <c r="B37" s="162" t="s">
        <v>35</v>
      </c>
      <c r="C37" s="162" t="s">
        <v>434</v>
      </c>
      <c r="D37" s="163">
        <v>46300</v>
      </c>
      <c r="E37" s="164">
        <f t="shared" si="0"/>
        <v>25</v>
      </c>
      <c r="F37" s="180">
        <v>46325</v>
      </c>
      <c r="G37" s="164">
        <v>100</v>
      </c>
      <c r="H37" s="164" t="s">
        <v>411</v>
      </c>
      <c r="I37" s="164"/>
      <c r="J37" s="164" t="s">
        <v>419</v>
      </c>
      <c r="K37" s="164" t="s">
        <v>419</v>
      </c>
      <c r="L37" s="164" t="s">
        <v>410</v>
      </c>
      <c r="M37" s="164" t="s">
        <v>419</v>
      </c>
      <c r="N37" s="164"/>
      <c r="O37" s="164"/>
    </row>
    <row r="38" spans="1:15" ht="14" x14ac:dyDescent="0.25">
      <c r="A38" s="156" t="s">
        <v>512</v>
      </c>
      <c r="B38" s="165"/>
      <c r="C38" s="165"/>
      <c r="D38" s="166">
        <v>46328</v>
      </c>
      <c r="E38" s="167">
        <f t="shared" si="0"/>
        <v>28</v>
      </c>
      <c r="F38" s="181">
        <v>46356</v>
      </c>
      <c r="G38" s="167">
        <v>100</v>
      </c>
      <c r="H38" s="167"/>
      <c r="I38" s="167"/>
      <c r="J38" s="167"/>
      <c r="K38" s="167"/>
      <c r="L38" s="167"/>
      <c r="M38" s="167"/>
      <c r="N38" s="167"/>
      <c r="O38" s="167"/>
    </row>
    <row r="39" spans="1:15" ht="14" x14ac:dyDescent="0.25">
      <c r="A39" s="161" t="s">
        <v>433</v>
      </c>
      <c r="B39" s="162" t="s">
        <v>35</v>
      </c>
      <c r="C39" s="162" t="s">
        <v>434</v>
      </c>
      <c r="D39" s="163">
        <v>46328</v>
      </c>
      <c r="E39" s="164">
        <f t="shared" si="0"/>
        <v>28</v>
      </c>
      <c r="F39" s="180">
        <v>46356</v>
      </c>
      <c r="G39" s="164">
        <v>100</v>
      </c>
      <c r="H39" s="164" t="s">
        <v>411</v>
      </c>
      <c r="I39" s="164"/>
      <c r="J39" s="164" t="s">
        <v>419</v>
      </c>
      <c r="K39" s="164" t="s">
        <v>419</v>
      </c>
      <c r="L39" s="164" t="s">
        <v>410</v>
      </c>
      <c r="M39" s="164" t="s">
        <v>419</v>
      </c>
      <c r="N39" s="164"/>
      <c r="O39" s="164"/>
    </row>
    <row r="40" spans="1:15" ht="14" x14ac:dyDescent="0.25">
      <c r="A40" s="156" t="s">
        <v>513</v>
      </c>
      <c r="B40" s="165"/>
      <c r="C40" s="165"/>
      <c r="D40" s="166">
        <v>46357</v>
      </c>
      <c r="E40" s="167">
        <f t="shared" si="0"/>
        <v>30</v>
      </c>
      <c r="F40" s="181">
        <v>46387</v>
      </c>
      <c r="G40" s="167">
        <v>100</v>
      </c>
      <c r="H40" s="167"/>
      <c r="I40" s="167"/>
      <c r="J40" s="167"/>
      <c r="K40" s="167"/>
      <c r="L40" s="167"/>
      <c r="M40" s="167"/>
      <c r="N40" s="167"/>
      <c r="O40" s="167"/>
    </row>
    <row r="41" spans="1:15" ht="14" x14ac:dyDescent="0.25">
      <c r="A41" s="161" t="s">
        <v>433</v>
      </c>
      <c r="B41" s="162" t="s">
        <v>35</v>
      </c>
      <c r="C41" s="162" t="s">
        <v>434</v>
      </c>
      <c r="D41" s="163">
        <v>46357</v>
      </c>
      <c r="E41" s="164">
        <f t="shared" si="0"/>
        <v>30</v>
      </c>
      <c r="F41" s="180">
        <v>46387</v>
      </c>
      <c r="G41" s="164">
        <v>100</v>
      </c>
      <c r="H41" s="164" t="s">
        <v>411</v>
      </c>
      <c r="I41" s="164"/>
      <c r="J41" s="164" t="s">
        <v>419</v>
      </c>
      <c r="K41" s="164" t="s">
        <v>419</v>
      </c>
      <c r="L41" s="164" t="s">
        <v>410</v>
      </c>
      <c r="M41" s="164" t="s">
        <v>419</v>
      </c>
      <c r="N41" s="164"/>
      <c r="O41" s="164"/>
    </row>
    <row r="42" spans="1:15" ht="14" x14ac:dyDescent="0.25">
      <c r="A42" s="156" t="s">
        <v>514</v>
      </c>
      <c r="B42" s="165"/>
      <c r="C42" s="165"/>
      <c r="D42" s="166">
        <v>46391</v>
      </c>
      <c r="E42" s="167">
        <f t="shared" si="0"/>
        <v>25</v>
      </c>
      <c r="F42" s="181">
        <v>46416</v>
      </c>
      <c r="G42" s="167">
        <v>100</v>
      </c>
      <c r="H42" s="167"/>
      <c r="I42" s="167"/>
      <c r="J42" s="167"/>
      <c r="K42" s="167"/>
      <c r="L42" s="167"/>
      <c r="M42" s="167"/>
      <c r="N42" s="167"/>
      <c r="O42" s="167"/>
    </row>
    <row r="43" spans="1:15" ht="14" x14ac:dyDescent="0.25">
      <c r="A43" s="161" t="s">
        <v>433</v>
      </c>
      <c r="B43" s="162" t="s">
        <v>35</v>
      </c>
      <c r="C43" s="162" t="s">
        <v>434</v>
      </c>
      <c r="D43" s="163">
        <v>46391</v>
      </c>
      <c r="E43" s="164">
        <f t="shared" si="0"/>
        <v>25</v>
      </c>
      <c r="F43" s="180">
        <v>46416</v>
      </c>
      <c r="G43" s="164">
        <v>100</v>
      </c>
      <c r="H43" s="164" t="s">
        <v>411</v>
      </c>
      <c r="I43" s="164"/>
      <c r="J43" s="164" t="s">
        <v>419</v>
      </c>
      <c r="K43" s="164" t="s">
        <v>419</v>
      </c>
      <c r="L43" s="164" t="s">
        <v>410</v>
      </c>
      <c r="M43" s="164" t="s">
        <v>419</v>
      </c>
      <c r="N43" s="164"/>
      <c r="O43" s="164"/>
    </row>
    <row r="44" spans="1:15" ht="14" x14ac:dyDescent="0.25">
      <c r="A44" s="156" t="s">
        <v>515</v>
      </c>
      <c r="B44" s="165"/>
      <c r="C44" s="165"/>
      <c r="D44" s="166">
        <v>46419</v>
      </c>
      <c r="E44" s="167">
        <f t="shared" si="0"/>
        <v>25</v>
      </c>
      <c r="F44" s="181">
        <v>46444</v>
      </c>
      <c r="G44" s="167">
        <v>100</v>
      </c>
      <c r="H44" s="167"/>
      <c r="I44" s="167"/>
      <c r="J44" s="167"/>
      <c r="K44" s="167"/>
      <c r="L44" s="167"/>
      <c r="M44" s="167"/>
      <c r="N44" s="167"/>
      <c r="O44" s="167"/>
    </row>
    <row r="45" spans="1:15" ht="14" x14ac:dyDescent="0.25">
      <c r="A45" s="161" t="s">
        <v>433</v>
      </c>
      <c r="B45" s="162" t="s">
        <v>35</v>
      </c>
      <c r="C45" s="162" t="s">
        <v>434</v>
      </c>
      <c r="D45" s="163">
        <v>46419</v>
      </c>
      <c r="E45" s="164">
        <f t="shared" si="0"/>
        <v>25</v>
      </c>
      <c r="F45" s="180">
        <v>46444</v>
      </c>
      <c r="G45" s="164">
        <v>100</v>
      </c>
      <c r="H45" s="164" t="s">
        <v>411</v>
      </c>
      <c r="I45" s="164"/>
      <c r="J45" s="164" t="s">
        <v>419</v>
      </c>
      <c r="K45" s="164" t="s">
        <v>419</v>
      </c>
      <c r="L45" s="164" t="s">
        <v>410</v>
      </c>
      <c r="M45" s="164" t="s">
        <v>419</v>
      </c>
      <c r="N45" s="164"/>
      <c r="O45" s="164"/>
    </row>
    <row r="46" spans="1:15" ht="14" x14ac:dyDescent="0.25">
      <c r="A46" s="156" t="s">
        <v>516</v>
      </c>
      <c r="B46" s="165"/>
      <c r="C46" s="165"/>
      <c r="D46" s="166">
        <v>46447</v>
      </c>
      <c r="E46" s="167">
        <f t="shared" si="0"/>
        <v>25</v>
      </c>
      <c r="F46" s="181">
        <v>46472</v>
      </c>
      <c r="G46" s="167">
        <v>160</v>
      </c>
      <c r="H46" s="167"/>
      <c r="I46" s="167"/>
      <c r="J46" s="167"/>
      <c r="K46" s="167"/>
      <c r="L46" s="167"/>
      <c r="M46" s="167"/>
      <c r="N46" s="167"/>
      <c r="O46" s="167"/>
    </row>
    <row r="47" spans="1:15" ht="14" x14ac:dyDescent="0.25">
      <c r="A47" s="159" t="s">
        <v>433</v>
      </c>
      <c r="B47" s="160" t="s">
        <v>35</v>
      </c>
      <c r="C47" s="160" t="s">
        <v>434</v>
      </c>
      <c r="D47" s="184">
        <v>46447</v>
      </c>
      <c r="E47" s="185">
        <f t="shared" si="0"/>
        <v>18</v>
      </c>
      <c r="F47" s="186">
        <v>46465</v>
      </c>
      <c r="G47" s="185">
        <v>100</v>
      </c>
      <c r="H47" s="185" t="s">
        <v>411</v>
      </c>
      <c r="I47" s="185"/>
      <c r="J47" s="185" t="s">
        <v>419</v>
      </c>
      <c r="K47" s="185" t="s">
        <v>419</v>
      </c>
      <c r="L47" s="185" t="s">
        <v>410</v>
      </c>
      <c r="M47" s="185" t="s">
        <v>419</v>
      </c>
      <c r="N47" s="185"/>
      <c r="O47" s="185"/>
    </row>
    <row r="48" spans="1:15" ht="28" x14ac:dyDescent="0.25">
      <c r="A48" s="159" t="s">
        <v>435</v>
      </c>
      <c r="B48" s="160" t="s">
        <v>35</v>
      </c>
      <c r="C48" s="160" t="s">
        <v>128</v>
      </c>
      <c r="D48" s="184">
        <v>46468</v>
      </c>
      <c r="E48" s="185">
        <f t="shared" si="0"/>
        <v>3</v>
      </c>
      <c r="F48" s="186">
        <v>46471</v>
      </c>
      <c r="G48" s="185">
        <v>50</v>
      </c>
      <c r="H48" s="185"/>
      <c r="I48" s="185"/>
      <c r="J48" s="185" t="s">
        <v>411</v>
      </c>
      <c r="K48" s="185" t="s">
        <v>411</v>
      </c>
      <c r="L48" s="185"/>
      <c r="M48" s="185"/>
      <c r="N48" s="185"/>
      <c r="O48" s="185" t="s">
        <v>410</v>
      </c>
    </row>
    <row r="49" spans="1:15" ht="28" x14ac:dyDescent="0.25">
      <c r="A49" s="159" t="s">
        <v>436</v>
      </c>
      <c r="B49" s="160" t="s">
        <v>417</v>
      </c>
      <c r="C49" s="160" t="s">
        <v>409</v>
      </c>
      <c r="D49" s="184">
        <v>46472</v>
      </c>
      <c r="E49" s="185">
        <v>1</v>
      </c>
      <c r="F49" s="184">
        <v>46472</v>
      </c>
      <c r="G49" s="185">
        <v>10</v>
      </c>
      <c r="H49" s="185" t="s">
        <v>410</v>
      </c>
      <c r="I49" s="185" t="s">
        <v>411</v>
      </c>
      <c r="J49" s="185" t="s">
        <v>411</v>
      </c>
      <c r="K49" s="185" t="s">
        <v>411</v>
      </c>
      <c r="L49" s="185" t="s">
        <v>411</v>
      </c>
      <c r="M49" s="185" t="s">
        <v>411</v>
      </c>
      <c r="N49" s="185" t="s">
        <v>411</v>
      </c>
      <c r="O49" s="185" t="s">
        <v>411</v>
      </c>
    </row>
    <row r="50" spans="1:15" ht="14" x14ac:dyDescent="0.25">
      <c r="A50" s="156" t="s">
        <v>517</v>
      </c>
      <c r="B50" s="165"/>
      <c r="C50" s="165"/>
      <c r="D50" s="166">
        <v>46476</v>
      </c>
      <c r="E50" s="167">
        <f t="shared" ref="E50:E74" si="1">F50-D50</f>
        <v>27</v>
      </c>
      <c r="F50" s="181">
        <v>46503</v>
      </c>
      <c r="G50" s="167">
        <v>100</v>
      </c>
      <c r="H50" s="167"/>
      <c r="I50" s="167"/>
      <c r="J50" s="167"/>
      <c r="K50" s="167"/>
      <c r="L50" s="167"/>
      <c r="M50" s="167"/>
      <c r="N50" s="167"/>
      <c r="O50" s="167"/>
    </row>
    <row r="51" spans="1:15" ht="42" x14ac:dyDescent="0.25">
      <c r="A51" s="159" t="s">
        <v>437</v>
      </c>
      <c r="B51" s="160" t="s">
        <v>35</v>
      </c>
      <c r="C51" s="160" t="s">
        <v>434</v>
      </c>
      <c r="D51" s="154">
        <v>46476</v>
      </c>
      <c r="E51" s="155">
        <f t="shared" si="1"/>
        <v>27</v>
      </c>
      <c r="F51" s="179">
        <v>46503</v>
      </c>
      <c r="G51" s="155">
        <v>100</v>
      </c>
      <c r="H51" s="155" t="s">
        <v>411</v>
      </c>
      <c r="I51" s="155"/>
      <c r="J51" s="155" t="s">
        <v>413</v>
      </c>
      <c r="K51" s="155" t="s">
        <v>411</v>
      </c>
      <c r="L51" s="155" t="s">
        <v>410</v>
      </c>
      <c r="M51" s="155" t="s">
        <v>419</v>
      </c>
      <c r="N51" s="155" t="s">
        <v>411</v>
      </c>
      <c r="O51" s="155"/>
    </row>
    <row r="52" spans="1:15" ht="14" x14ac:dyDescent="0.25">
      <c r="A52" s="156" t="s">
        <v>518</v>
      </c>
      <c r="B52" s="165"/>
      <c r="C52" s="165"/>
      <c r="D52" s="166">
        <v>46504</v>
      </c>
      <c r="E52" s="167">
        <f t="shared" si="1"/>
        <v>31</v>
      </c>
      <c r="F52" s="181">
        <v>46535</v>
      </c>
      <c r="G52" s="167">
        <v>100</v>
      </c>
      <c r="H52" s="167"/>
      <c r="I52" s="167"/>
      <c r="J52" s="167"/>
      <c r="K52" s="167"/>
      <c r="L52" s="167"/>
      <c r="M52" s="167"/>
      <c r="N52" s="167"/>
      <c r="O52" s="167"/>
    </row>
    <row r="53" spans="1:15" ht="42" x14ac:dyDescent="0.25">
      <c r="A53" s="159" t="s">
        <v>437</v>
      </c>
      <c r="B53" s="160" t="s">
        <v>35</v>
      </c>
      <c r="C53" s="160" t="s">
        <v>434</v>
      </c>
      <c r="D53" s="154">
        <v>46504</v>
      </c>
      <c r="E53" s="155">
        <f t="shared" si="1"/>
        <v>31</v>
      </c>
      <c r="F53" s="179">
        <v>46535</v>
      </c>
      <c r="G53" s="155">
        <v>100</v>
      </c>
      <c r="H53" s="155" t="s">
        <v>411</v>
      </c>
      <c r="I53" s="155"/>
      <c r="J53" s="155" t="s">
        <v>413</v>
      </c>
      <c r="K53" s="155" t="s">
        <v>411</v>
      </c>
      <c r="L53" s="155" t="s">
        <v>410</v>
      </c>
      <c r="M53" s="155" t="s">
        <v>419</v>
      </c>
      <c r="N53" s="155" t="s">
        <v>411</v>
      </c>
      <c r="O53" s="155"/>
    </row>
    <row r="54" spans="1:15" ht="14" x14ac:dyDescent="0.25">
      <c r="A54" s="156" t="s">
        <v>519</v>
      </c>
      <c r="B54" s="165"/>
      <c r="C54" s="165"/>
      <c r="D54" s="166">
        <v>46538</v>
      </c>
      <c r="E54" s="167">
        <f t="shared" si="1"/>
        <v>25</v>
      </c>
      <c r="F54" s="181">
        <v>46563</v>
      </c>
      <c r="G54" s="167">
        <v>100</v>
      </c>
      <c r="H54" s="167"/>
      <c r="I54" s="167"/>
      <c r="J54" s="167"/>
      <c r="K54" s="167"/>
      <c r="L54" s="167"/>
      <c r="M54" s="167"/>
      <c r="N54" s="167"/>
      <c r="O54" s="167"/>
    </row>
    <row r="55" spans="1:15" ht="42" x14ac:dyDescent="0.25">
      <c r="A55" s="159" t="s">
        <v>437</v>
      </c>
      <c r="B55" s="160" t="s">
        <v>35</v>
      </c>
      <c r="C55" s="160" t="s">
        <v>434</v>
      </c>
      <c r="D55" s="154">
        <v>46538</v>
      </c>
      <c r="E55" s="155">
        <f t="shared" si="1"/>
        <v>25</v>
      </c>
      <c r="F55" s="179">
        <v>46563</v>
      </c>
      <c r="G55" s="155">
        <v>100</v>
      </c>
      <c r="H55" s="155" t="s">
        <v>411</v>
      </c>
      <c r="I55" s="155"/>
      <c r="J55" s="155" t="s">
        <v>413</v>
      </c>
      <c r="K55" s="155" t="s">
        <v>411</v>
      </c>
      <c r="L55" s="155" t="s">
        <v>410</v>
      </c>
      <c r="M55" s="155" t="s">
        <v>419</v>
      </c>
      <c r="N55" s="155" t="s">
        <v>411</v>
      </c>
      <c r="O55" s="155"/>
    </row>
    <row r="56" spans="1:15" ht="14" x14ac:dyDescent="0.25">
      <c r="A56" s="156" t="s">
        <v>520</v>
      </c>
      <c r="B56" s="165"/>
      <c r="C56" s="165"/>
      <c r="D56" s="166">
        <v>46566</v>
      </c>
      <c r="E56" s="167">
        <f t="shared" si="1"/>
        <v>28</v>
      </c>
      <c r="F56" s="181">
        <v>46594</v>
      </c>
      <c r="G56" s="167">
        <v>100</v>
      </c>
      <c r="H56" s="167"/>
      <c r="I56" s="167"/>
      <c r="J56" s="167"/>
      <c r="K56" s="167"/>
      <c r="L56" s="167"/>
      <c r="M56" s="167"/>
      <c r="N56" s="167"/>
      <c r="O56" s="167"/>
    </row>
    <row r="57" spans="1:15" ht="42" x14ac:dyDescent="0.25">
      <c r="A57" s="159" t="s">
        <v>437</v>
      </c>
      <c r="B57" s="160" t="s">
        <v>35</v>
      </c>
      <c r="C57" s="160" t="s">
        <v>434</v>
      </c>
      <c r="D57" s="154">
        <v>46566</v>
      </c>
      <c r="E57" s="155">
        <f t="shared" si="1"/>
        <v>28</v>
      </c>
      <c r="F57" s="179">
        <v>46594</v>
      </c>
      <c r="G57" s="155">
        <v>100</v>
      </c>
      <c r="H57" s="155" t="s">
        <v>411</v>
      </c>
      <c r="I57" s="155"/>
      <c r="J57" s="155" t="s">
        <v>413</v>
      </c>
      <c r="K57" s="155" t="s">
        <v>411</v>
      </c>
      <c r="L57" s="155" t="s">
        <v>410</v>
      </c>
      <c r="M57" s="155" t="s">
        <v>419</v>
      </c>
      <c r="N57" s="155" t="s">
        <v>411</v>
      </c>
      <c r="O57" s="155"/>
    </row>
    <row r="58" spans="1:15" ht="14" x14ac:dyDescent="0.25">
      <c r="A58" s="156" t="s">
        <v>521</v>
      </c>
      <c r="B58" s="165"/>
      <c r="C58" s="165"/>
      <c r="D58" s="166">
        <v>46595</v>
      </c>
      <c r="E58" s="167">
        <f t="shared" si="1"/>
        <v>38</v>
      </c>
      <c r="F58" s="181">
        <v>46633</v>
      </c>
      <c r="G58" s="167">
        <v>100</v>
      </c>
      <c r="H58" s="167"/>
      <c r="I58" s="167"/>
      <c r="J58" s="167"/>
      <c r="K58" s="167"/>
      <c r="L58" s="167"/>
      <c r="M58" s="167"/>
      <c r="N58" s="167"/>
      <c r="O58" s="167"/>
    </row>
    <row r="59" spans="1:15" ht="42" x14ac:dyDescent="0.25">
      <c r="A59" s="159" t="s">
        <v>437</v>
      </c>
      <c r="B59" s="160" t="s">
        <v>35</v>
      </c>
      <c r="C59" s="160" t="s">
        <v>434</v>
      </c>
      <c r="D59" s="154">
        <v>46595</v>
      </c>
      <c r="E59" s="155">
        <f t="shared" si="1"/>
        <v>38</v>
      </c>
      <c r="F59" s="179">
        <v>46633</v>
      </c>
      <c r="G59" s="155">
        <v>100</v>
      </c>
      <c r="H59" s="155" t="s">
        <v>411</v>
      </c>
      <c r="I59" s="155"/>
      <c r="J59" s="155" t="s">
        <v>413</v>
      </c>
      <c r="K59" s="155" t="s">
        <v>411</v>
      </c>
      <c r="L59" s="155" t="s">
        <v>410</v>
      </c>
      <c r="M59" s="155" t="s">
        <v>419</v>
      </c>
      <c r="N59" s="155" t="s">
        <v>411</v>
      </c>
      <c r="O59" s="155"/>
    </row>
    <row r="60" spans="1:15" ht="14" x14ac:dyDescent="0.25">
      <c r="A60" s="156" t="s">
        <v>522</v>
      </c>
      <c r="B60" s="165"/>
      <c r="C60" s="165"/>
      <c r="D60" s="166">
        <v>46636</v>
      </c>
      <c r="E60" s="167">
        <f t="shared" si="1"/>
        <v>25</v>
      </c>
      <c r="F60" s="181">
        <v>46661</v>
      </c>
      <c r="G60" s="167">
        <v>100</v>
      </c>
      <c r="H60" s="167"/>
      <c r="I60" s="167"/>
      <c r="J60" s="167"/>
      <c r="K60" s="167"/>
      <c r="L60" s="167"/>
      <c r="M60" s="167"/>
      <c r="N60" s="167"/>
      <c r="O60" s="167"/>
    </row>
    <row r="61" spans="1:15" ht="42" x14ac:dyDescent="0.25">
      <c r="A61" s="159" t="s">
        <v>437</v>
      </c>
      <c r="B61" s="160" t="s">
        <v>35</v>
      </c>
      <c r="C61" s="160" t="s">
        <v>434</v>
      </c>
      <c r="D61" s="154">
        <v>46636</v>
      </c>
      <c r="E61" s="155">
        <f t="shared" si="1"/>
        <v>25</v>
      </c>
      <c r="F61" s="179">
        <v>46661</v>
      </c>
      <c r="G61" s="155">
        <v>100</v>
      </c>
      <c r="H61" s="155" t="s">
        <v>411</v>
      </c>
      <c r="I61" s="155"/>
      <c r="J61" s="155" t="s">
        <v>413</v>
      </c>
      <c r="K61" s="155" t="s">
        <v>411</v>
      </c>
      <c r="L61" s="155" t="s">
        <v>410</v>
      </c>
      <c r="M61" s="155" t="s">
        <v>419</v>
      </c>
      <c r="N61" s="155" t="s">
        <v>411</v>
      </c>
      <c r="O61" s="155"/>
    </row>
    <row r="62" spans="1:15" ht="14" x14ac:dyDescent="0.25">
      <c r="A62" s="156" t="s">
        <v>523</v>
      </c>
      <c r="B62" s="165"/>
      <c r="C62" s="165"/>
      <c r="D62" s="166">
        <v>46664</v>
      </c>
      <c r="E62" s="167">
        <f t="shared" si="1"/>
        <v>25</v>
      </c>
      <c r="F62" s="181">
        <v>46689</v>
      </c>
      <c r="G62" s="167">
        <v>100</v>
      </c>
      <c r="H62" s="167"/>
      <c r="I62" s="167"/>
      <c r="J62" s="167"/>
      <c r="K62" s="167"/>
      <c r="L62" s="167"/>
      <c r="M62" s="167"/>
      <c r="N62" s="167"/>
      <c r="O62" s="167"/>
    </row>
    <row r="63" spans="1:15" ht="42" x14ac:dyDescent="0.25">
      <c r="A63" s="159" t="s">
        <v>437</v>
      </c>
      <c r="B63" s="160" t="s">
        <v>35</v>
      </c>
      <c r="C63" s="160" t="s">
        <v>434</v>
      </c>
      <c r="D63" s="154">
        <v>46664</v>
      </c>
      <c r="E63" s="155">
        <f t="shared" si="1"/>
        <v>25</v>
      </c>
      <c r="F63" s="179">
        <v>46689</v>
      </c>
      <c r="G63" s="155">
        <v>100</v>
      </c>
      <c r="H63" s="155" t="s">
        <v>411</v>
      </c>
      <c r="I63" s="155"/>
      <c r="J63" s="155" t="s">
        <v>413</v>
      </c>
      <c r="K63" s="155" t="s">
        <v>411</v>
      </c>
      <c r="L63" s="155" t="s">
        <v>410</v>
      </c>
      <c r="M63" s="155" t="s">
        <v>419</v>
      </c>
      <c r="N63" s="155" t="s">
        <v>411</v>
      </c>
      <c r="O63" s="155"/>
    </row>
    <row r="64" spans="1:15" ht="14" x14ac:dyDescent="0.25">
      <c r="A64" s="156" t="s">
        <v>524</v>
      </c>
      <c r="B64" s="165"/>
      <c r="C64" s="165"/>
      <c r="D64" s="166">
        <v>46693</v>
      </c>
      <c r="E64" s="167">
        <f t="shared" si="1"/>
        <v>27</v>
      </c>
      <c r="F64" s="181">
        <v>46720</v>
      </c>
      <c r="G64" s="167">
        <v>100</v>
      </c>
      <c r="H64" s="167"/>
      <c r="I64" s="167"/>
      <c r="J64" s="167"/>
      <c r="K64" s="167"/>
      <c r="L64" s="167"/>
      <c r="M64" s="167"/>
      <c r="N64" s="167"/>
      <c r="O64" s="167"/>
    </row>
    <row r="65" spans="1:15" ht="42" x14ac:dyDescent="0.25">
      <c r="A65" s="159" t="s">
        <v>437</v>
      </c>
      <c r="B65" s="160" t="s">
        <v>35</v>
      </c>
      <c r="C65" s="160" t="s">
        <v>434</v>
      </c>
      <c r="D65" s="154">
        <v>46693</v>
      </c>
      <c r="E65" s="155">
        <f t="shared" si="1"/>
        <v>27</v>
      </c>
      <c r="F65" s="179">
        <v>46720</v>
      </c>
      <c r="G65" s="155">
        <v>100</v>
      </c>
      <c r="H65" s="155" t="s">
        <v>411</v>
      </c>
      <c r="I65" s="155"/>
      <c r="J65" s="155" t="s">
        <v>413</v>
      </c>
      <c r="K65" s="155" t="s">
        <v>411</v>
      </c>
      <c r="L65" s="155" t="s">
        <v>410</v>
      </c>
      <c r="M65" s="155" t="s">
        <v>419</v>
      </c>
      <c r="N65" s="155" t="s">
        <v>411</v>
      </c>
      <c r="O65" s="155"/>
    </row>
    <row r="66" spans="1:15" ht="14" x14ac:dyDescent="0.25">
      <c r="A66" s="156" t="s">
        <v>525</v>
      </c>
      <c r="B66" s="165"/>
      <c r="C66" s="165"/>
      <c r="D66" s="166">
        <v>46721</v>
      </c>
      <c r="E66" s="167">
        <f t="shared" si="1"/>
        <v>38</v>
      </c>
      <c r="F66" s="181">
        <v>46759</v>
      </c>
      <c r="G66" s="167">
        <v>100</v>
      </c>
      <c r="H66" s="167"/>
      <c r="I66" s="167"/>
      <c r="J66" s="167"/>
      <c r="K66" s="167"/>
      <c r="L66" s="167"/>
      <c r="M66" s="167"/>
      <c r="N66" s="167"/>
      <c r="O66" s="167"/>
    </row>
    <row r="67" spans="1:15" ht="42" x14ac:dyDescent="0.25">
      <c r="A67" s="159" t="s">
        <v>437</v>
      </c>
      <c r="B67" s="160" t="s">
        <v>35</v>
      </c>
      <c r="C67" s="160" t="s">
        <v>434</v>
      </c>
      <c r="D67" s="154">
        <v>46721</v>
      </c>
      <c r="E67" s="155">
        <f t="shared" si="1"/>
        <v>38</v>
      </c>
      <c r="F67" s="179">
        <v>46759</v>
      </c>
      <c r="G67" s="155">
        <v>100</v>
      </c>
      <c r="H67" s="155" t="s">
        <v>411</v>
      </c>
      <c r="I67" s="155"/>
      <c r="J67" s="155" t="s">
        <v>413</v>
      </c>
      <c r="K67" s="155" t="s">
        <v>411</v>
      </c>
      <c r="L67" s="155" t="s">
        <v>410</v>
      </c>
      <c r="M67" s="155" t="s">
        <v>419</v>
      </c>
      <c r="N67" s="155" t="s">
        <v>411</v>
      </c>
      <c r="O67" s="155"/>
    </row>
    <row r="68" spans="1:15" ht="14" x14ac:dyDescent="0.25">
      <c r="A68" s="156" t="s">
        <v>526</v>
      </c>
      <c r="B68" s="165"/>
      <c r="C68" s="165"/>
      <c r="D68" s="166">
        <v>46762</v>
      </c>
      <c r="E68" s="167">
        <f t="shared" si="1"/>
        <v>25</v>
      </c>
      <c r="F68" s="181">
        <v>46787</v>
      </c>
      <c r="G68" s="167">
        <v>100</v>
      </c>
      <c r="H68" s="167"/>
      <c r="I68" s="167"/>
      <c r="J68" s="167"/>
      <c r="K68" s="167"/>
      <c r="L68" s="167"/>
      <c r="M68" s="167"/>
      <c r="N68" s="167"/>
      <c r="O68" s="167"/>
    </row>
    <row r="69" spans="1:15" ht="42" x14ac:dyDescent="0.25">
      <c r="A69" s="159" t="s">
        <v>437</v>
      </c>
      <c r="B69" s="160" t="s">
        <v>35</v>
      </c>
      <c r="C69" s="160" t="s">
        <v>434</v>
      </c>
      <c r="D69" s="154">
        <v>46762</v>
      </c>
      <c r="E69" s="155">
        <f t="shared" si="1"/>
        <v>25</v>
      </c>
      <c r="F69" s="179">
        <v>46787</v>
      </c>
      <c r="G69" s="155">
        <v>100</v>
      </c>
      <c r="H69" s="155" t="s">
        <v>411</v>
      </c>
      <c r="I69" s="155"/>
      <c r="J69" s="155" t="s">
        <v>413</v>
      </c>
      <c r="K69" s="155" t="s">
        <v>411</v>
      </c>
      <c r="L69" s="155" t="s">
        <v>410</v>
      </c>
      <c r="M69" s="155" t="s">
        <v>419</v>
      </c>
      <c r="N69" s="155" t="s">
        <v>411</v>
      </c>
      <c r="O69" s="155"/>
    </row>
    <row r="70" spans="1:15" ht="14" x14ac:dyDescent="0.25">
      <c r="A70" s="156" t="s">
        <v>527</v>
      </c>
      <c r="B70" s="165"/>
      <c r="C70" s="165"/>
      <c r="D70" s="166">
        <v>46790</v>
      </c>
      <c r="E70" s="167">
        <f t="shared" si="1"/>
        <v>25</v>
      </c>
      <c r="F70" s="181">
        <v>46815</v>
      </c>
      <c r="G70" s="167">
        <v>100</v>
      </c>
      <c r="H70" s="167"/>
      <c r="I70" s="167"/>
      <c r="J70" s="167"/>
      <c r="K70" s="167"/>
      <c r="L70" s="167"/>
      <c r="M70" s="167"/>
      <c r="N70" s="167"/>
      <c r="O70" s="167"/>
    </row>
    <row r="71" spans="1:15" ht="42" x14ac:dyDescent="0.25">
      <c r="A71" s="159" t="s">
        <v>437</v>
      </c>
      <c r="B71" s="160" t="s">
        <v>35</v>
      </c>
      <c r="C71" s="160" t="s">
        <v>434</v>
      </c>
      <c r="D71" s="154">
        <v>46790</v>
      </c>
      <c r="E71" s="155">
        <f t="shared" si="1"/>
        <v>25</v>
      </c>
      <c r="F71" s="179">
        <v>46815</v>
      </c>
      <c r="G71" s="155">
        <v>100</v>
      </c>
      <c r="H71" s="155" t="s">
        <v>411</v>
      </c>
      <c r="I71" s="155"/>
      <c r="J71" s="155" t="s">
        <v>413</v>
      </c>
      <c r="K71" s="155" t="s">
        <v>411</v>
      </c>
      <c r="L71" s="155" t="s">
        <v>410</v>
      </c>
      <c r="M71" s="155" t="s">
        <v>419</v>
      </c>
      <c r="N71" s="155" t="s">
        <v>411</v>
      </c>
      <c r="O71" s="155"/>
    </row>
    <row r="72" spans="1:15" ht="14" x14ac:dyDescent="0.25">
      <c r="A72" s="156" t="s">
        <v>528</v>
      </c>
      <c r="B72" s="165"/>
      <c r="C72" s="165"/>
      <c r="D72" s="166">
        <v>46818</v>
      </c>
      <c r="E72" s="167">
        <f t="shared" si="1"/>
        <v>25</v>
      </c>
      <c r="F72" s="181">
        <v>46843</v>
      </c>
      <c r="G72" s="167">
        <v>160</v>
      </c>
      <c r="H72" s="167"/>
      <c r="I72" s="167"/>
      <c r="J72" s="167"/>
      <c r="K72" s="167"/>
      <c r="L72" s="167"/>
      <c r="M72" s="167"/>
      <c r="N72" s="167"/>
      <c r="O72" s="167"/>
    </row>
    <row r="73" spans="1:15" ht="42" x14ac:dyDescent="0.25">
      <c r="A73" s="159" t="s">
        <v>437</v>
      </c>
      <c r="B73" s="160" t="s">
        <v>35</v>
      </c>
      <c r="C73" s="160" t="s">
        <v>434</v>
      </c>
      <c r="D73" s="184">
        <v>46818</v>
      </c>
      <c r="E73" s="185">
        <f t="shared" si="1"/>
        <v>18</v>
      </c>
      <c r="F73" s="186">
        <v>46836</v>
      </c>
      <c r="G73" s="185">
        <v>100</v>
      </c>
      <c r="H73" s="185" t="s">
        <v>411</v>
      </c>
      <c r="I73" s="185"/>
      <c r="J73" s="185" t="s">
        <v>413</v>
      </c>
      <c r="K73" s="185" t="s">
        <v>411</v>
      </c>
      <c r="L73" s="185" t="s">
        <v>410</v>
      </c>
      <c r="M73" s="185" t="s">
        <v>419</v>
      </c>
      <c r="N73" s="185" t="s">
        <v>411</v>
      </c>
      <c r="O73" s="185"/>
    </row>
    <row r="74" spans="1:15" ht="42" x14ac:dyDescent="0.25">
      <c r="A74" s="159" t="s">
        <v>438</v>
      </c>
      <c r="B74" s="160" t="s">
        <v>34</v>
      </c>
      <c r="C74" s="160" t="s">
        <v>128</v>
      </c>
      <c r="D74" s="184">
        <v>46839</v>
      </c>
      <c r="E74" s="185">
        <f t="shared" si="1"/>
        <v>3</v>
      </c>
      <c r="F74" s="186">
        <v>46842</v>
      </c>
      <c r="G74" s="185">
        <v>50</v>
      </c>
      <c r="H74" s="185"/>
      <c r="I74" s="185"/>
      <c r="J74" s="185" t="s">
        <v>411</v>
      </c>
      <c r="K74" s="185" t="s">
        <v>411</v>
      </c>
      <c r="L74" s="185"/>
      <c r="M74" s="185"/>
      <c r="N74" s="185"/>
      <c r="O74" s="185" t="s">
        <v>410</v>
      </c>
    </row>
    <row r="75" spans="1:15" ht="28" x14ac:dyDescent="0.25">
      <c r="A75" s="159" t="s">
        <v>439</v>
      </c>
      <c r="B75" s="160" t="s">
        <v>417</v>
      </c>
      <c r="C75" s="160" t="s">
        <v>409</v>
      </c>
      <c r="D75" s="184">
        <v>46843</v>
      </c>
      <c r="E75" s="185">
        <v>1</v>
      </c>
      <c r="F75" s="186">
        <v>46843</v>
      </c>
      <c r="G75" s="185">
        <v>10</v>
      </c>
      <c r="H75" s="185" t="s">
        <v>410</v>
      </c>
      <c r="I75" s="185" t="s">
        <v>411</v>
      </c>
      <c r="J75" s="185" t="s">
        <v>411</v>
      </c>
      <c r="K75" s="185" t="s">
        <v>411</v>
      </c>
      <c r="L75" s="185" t="s">
        <v>411</v>
      </c>
      <c r="M75" s="185" t="s">
        <v>411</v>
      </c>
      <c r="N75" s="185" t="s">
        <v>411</v>
      </c>
      <c r="O75" s="185"/>
    </row>
    <row r="76" spans="1:15" ht="14" x14ac:dyDescent="0.25">
      <c r="A76" s="156" t="s">
        <v>529</v>
      </c>
      <c r="B76" s="165"/>
      <c r="C76" s="165"/>
      <c r="D76" s="166">
        <v>46846</v>
      </c>
      <c r="E76" s="167">
        <f t="shared" ref="E76:E100" si="2">F76-D76</f>
        <v>29</v>
      </c>
      <c r="F76" s="181">
        <v>46875</v>
      </c>
      <c r="G76" s="167">
        <v>100</v>
      </c>
      <c r="H76" s="167"/>
      <c r="I76" s="167"/>
      <c r="J76" s="167"/>
      <c r="K76" s="167"/>
      <c r="L76" s="167"/>
      <c r="M76" s="167"/>
      <c r="N76" s="167"/>
      <c r="O76" s="167"/>
    </row>
    <row r="77" spans="1:15" ht="42" x14ac:dyDescent="0.25">
      <c r="A77" s="161" t="s">
        <v>440</v>
      </c>
      <c r="B77" s="162" t="s">
        <v>35</v>
      </c>
      <c r="C77" s="162" t="s">
        <v>434</v>
      </c>
      <c r="D77" s="163">
        <v>46846</v>
      </c>
      <c r="E77" s="164">
        <f t="shared" si="2"/>
        <v>29</v>
      </c>
      <c r="F77" s="180">
        <v>46875</v>
      </c>
      <c r="G77" s="164">
        <v>100</v>
      </c>
      <c r="H77" s="164" t="s">
        <v>411</v>
      </c>
      <c r="I77" s="164"/>
      <c r="J77" s="164" t="s">
        <v>419</v>
      </c>
      <c r="K77" s="164" t="s">
        <v>419</v>
      </c>
      <c r="L77" s="164" t="s">
        <v>410</v>
      </c>
      <c r="M77" s="164" t="s">
        <v>419</v>
      </c>
      <c r="N77" s="164" t="s">
        <v>411</v>
      </c>
      <c r="O77" s="164"/>
    </row>
    <row r="78" spans="1:15" ht="14" x14ac:dyDescent="0.25">
      <c r="A78" s="156" t="s">
        <v>530</v>
      </c>
      <c r="B78" s="165"/>
      <c r="C78" s="165"/>
      <c r="D78" s="166">
        <v>46876</v>
      </c>
      <c r="E78" s="167">
        <f t="shared" si="2"/>
        <v>27</v>
      </c>
      <c r="F78" s="181">
        <v>46903</v>
      </c>
      <c r="G78" s="167">
        <v>100</v>
      </c>
      <c r="H78" s="167"/>
      <c r="I78" s="167"/>
      <c r="J78" s="167"/>
      <c r="K78" s="167"/>
      <c r="L78" s="167"/>
      <c r="M78" s="167"/>
      <c r="N78" s="167"/>
      <c r="O78" s="167"/>
    </row>
    <row r="79" spans="1:15" ht="42" x14ac:dyDescent="0.25">
      <c r="A79" s="161" t="s">
        <v>440</v>
      </c>
      <c r="B79" s="162" t="s">
        <v>35</v>
      </c>
      <c r="C79" s="162" t="s">
        <v>434</v>
      </c>
      <c r="D79" s="163">
        <v>46876</v>
      </c>
      <c r="E79" s="164">
        <f t="shared" si="2"/>
        <v>27</v>
      </c>
      <c r="F79" s="180">
        <v>46903</v>
      </c>
      <c r="G79" s="164">
        <v>100</v>
      </c>
      <c r="H79" s="164" t="s">
        <v>411</v>
      </c>
      <c r="I79" s="164"/>
      <c r="J79" s="164" t="s">
        <v>419</v>
      </c>
      <c r="K79" s="164" t="s">
        <v>419</v>
      </c>
      <c r="L79" s="164" t="s">
        <v>410</v>
      </c>
      <c r="M79" s="164" t="s">
        <v>419</v>
      </c>
      <c r="N79" s="164" t="s">
        <v>411</v>
      </c>
      <c r="O79" s="164"/>
    </row>
    <row r="80" spans="1:15" ht="14" x14ac:dyDescent="0.25">
      <c r="A80" s="156" t="s">
        <v>531</v>
      </c>
      <c r="B80" s="165"/>
      <c r="C80" s="165"/>
      <c r="D80" s="166">
        <v>46904</v>
      </c>
      <c r="E80" s="167">
        <f t="shared" si="2"/>
        <v>26</v>
      </c>
      <c r="F80" s="181">
        <v>46930</v>
      </c>
      <c r="G80" s="167">
        <v>100</v>
      </c>
      <c r="H80" s="167"/>
      <c r="I80" s="167"/>
      <c r="J80" s="167"/>
      <c r="K80" s="167"/>
      <c r="L80" s="167"/>
      <c r="M80" s="167"/>
      <c r="N80" s="167"/>
      <c r="O80" s="167"/>
    </row>
    <row r="81" spans="1:15" ht="42" x14ac:dyDescent="0.25">
      <c r="A81" s="161" t="s">
        <v>440</v>
      </c>
      <c r="B81" s="162" t="s">
        <v>35</v>
      </c>
      <c r="C81" s="162" t="s">
        <v>434</v>
      </c>
      <c r="D81" s="163">
        <v>46904</v>
      </c>
      <c r="E81" s="164">
        <f t="shared" si="2"/>
        <v>26</v>
      </c>
      <c r="F81" s="180">
        <v>46930</v>
      </c>
      <c r="G81" s="164">
        <v>100</v>
      </c>
      <c r="H81" s="164" t="s">
        <v>411</v>
      </c>
      <c r="I81" s="164"/>
      <c r="J81" s="164" t="s">
        <v>419</v>
      </c>
      <c r="K81" s="164" t="s">
        <v>419</v>
      </c>
      <c r="L81" s="164" t="s">
        <v>410</v>
      </c>
      <c r="M81" s="164" t="s">
        <v>419</v>
      </c>
      <c r="N81" s="164" t="s">
        <v>411</v>
      </c>
      <c r="O81" s="164"/>
    </row>
    <row r="82" spans="1:15" ht="14" x14ac:dyDescent="0.25">
      <c r="A82" s="156" t="s">
        <v>532</v>
      </c>
      <c r="B82" s="165"/>
      <c r="C82" s="165"/>
      <c r="D82" s="166">
        <v>46931</v>
      </c>
      <c r="E82" s="167">
        <f t="shared" si="2"/>
        <v>27</v>
      </c>
      <c r="F82" s="181">
        <v>46958</v>
      </c>
      <c r="G82" s="167">
        <v>100</v>
      </c>
      <c r="H82" s="167"/>
      <c r="I82" s="167"/>
      <c r="J82" s="167"/>
      <c r="K82" s="167"/>
      <c r="L82" s="167"/>
      <c r="M82" s="167"/>
      <c r="N82" s="167"/>
      <c r="O82" s="167"/>
    </row>
    <row r="83" spans="1:15" ht="42" x14ac:dyDescent="0.25">
      <c r="A83" s="161" t="s">
        <v>440</v>
      </c>
      <c r="B83" s="162" t="s">
        <v>35</v>
      </c>
      <c r="C83" s="162" t="s">
        <v>434</v>
      </c>
      <c r="D83" s="163">
        <v>46931</v>
      </c>
      <c r="E83" s="164">
        <f t="shared" si="2"/>
        <v>27</v>
      </c>
      <c r="F83" s="180">
        <v>46958</v>
      </c>
      <c r="G83" s="164">
        <v>100</v>
      </c>
      <c r="H83" s="164" t="s">
        <v>411</v>
      </c>
      <c r="I83" s="164"/>
      <c r="J83" s="164" t="s">
        <v>419</v>
      </c>
      <c r="K83" s="164" t="s">
        <v>419</v>
      </c>
      <c r="L83" s="164" t="s">
        <v>410</v>
      </c>
      <c r="M83" s="164" t="s">
        <v>419</v>
      </c>
      <c r="N83" s="164" t="s">
        <v>411</v>
      </c>
      <c r="O83" s="164"/>
    </row>
    <row r="84" spans="1:15" ht="14" x14ac:dyDescent="0.25">
      <c r="A84" s="156" t="s">
        <v>533</v>
      </c>
      <c r="B84" s="165"/>
      <c r="C84" s="165"/>
      <c r="D84" s="166">
        <v>46959</v>
      </c>
      <c r="E84" s="167">
        <f t="shared" si="2"/>
        <v>24</v>
      </c>
      <c r="F84" s="181">
        <v>46983</v>
      </c>
      <c r="G84" s="167">
        <v>100</v>
      </c>
      <c r="H84" s="167"/>
      <c r="I84" s="167"/>
      <c r="J84" s="167"/>
      <c r="K84" s="167"/>
      <c r="L84" s="167"/>
      <c r="M84" s="167"/>
      <c r="N84" s="167"/>
      <c r="O84" s="167"/>
    </row>
    <row r="85" spans="1:15" ht="42" x14ac:dyDescent="0.25">
      <c r="A85" s="161" t="s">
        <v>440</v>
      </c>
      <c r="B85" s="162" t="s">
        <v>35</v>
      </c>
      <c r="C85" s="162" t="s">
        <v>434</v>
      </c>
      <c r="D85" s="163">
        <v>46959</v>
      </c>
      <c r="E85" s="164">
        <f t="shared" si="2"/>
        <v>24</v>
      </c>
      <c r="F85" s="180">
        <v>46983</v>
      </c>
      <c r="G85" s="164">
        <v>100</v>
      </c>
      <c r="H85" s="164" t="s">
        <v>411</v>
      </c>
      <c r="I85" s="164"/>
      <c r="J85" s="164" t="s">
        <v>419</v>
      </c>
      <c r="K85" s="164" t="s">
        <v>419</v>
      </c>
      <c r="L85" s="164" t="s">
        <v>410</v>
      </c>
      <c r="M85" s="164" t="s">
        <v>419</v>
      </c>
      <c r="N85" s="164" t="s">
        <v>411</v>
      </c>
      <c r="O85" s="164"/>
    </row>
    <row r="86" spans="1:15" ht="14" x14ac:dyDescent="0.25">
      <c r="A86" s="156" t="s">
        <v>534</v>
      </c>
      <c r="B86" s="165"/>
      <c r="C86" s="165"/>
      <c r="D86" s="166">
        <v>47000</v>
      </c>
      <c r="E86" s="167">
        <f t="shared" si="2"/>
        <v>25</v>
      </c>
      <c r="F86" s="181">
        <v>47025</v>
      </c>
      <c r="G86" s="167">
        <v>100</v>
      </c>
      <c r="H86" s="167"/>
      <c r="I86" s="167"/>
      <c r="J86" s="167"/>
      <c r="K86" s="167"/>
      <c r="L86" s="167"/>
      <c r="M86" s="167"/>
      <c r="N86" s="167"/>
      <c r="O86" s="167"/>
    </row>
    <row r="87" spans="1:15" ht="42" x14ac:dyDescent="0.25">
      <c r="A87" s="161" t="s">
        <v>440</v>
      </c>
      <c r="B87" s="162" t="s">
        <v>35</v>
      </c>
      <c r="C87" s="162" t="s">
        <v>434</v>
      </c>
      <c r="D87" s="163">
        <v>47000</v>
      </c>
      <c r="E87" s="164">
        <f t="shared" si="2"/>
        <v>25</v>
      </c>
      <c r="F87" s="180">
        <v>47025</v>
      </c>
      <c r="G87" s="164">
        <v>100</v>
      </c>
      <c r="H87" s="164" t="s">
        <v>411</v>
      </c>
      <c r="I87" s="164"/>
      <c r="J87" s="164" t="s">
        <v>419</v>
      </c>
      <c r="K87" s="164" t="s">
        <v>419</v>
      </c>
      <c r="L87" s="164" t="s">
        <v>410</v>
      </c>
      <c r="M87" s="164" t="s">
        <v>419</v>
      </c>
      <c r="N87" s="164" t="s">
        <v>411</v>
      </c>
      <c r="O87" s="164"/>
    </row>
    <row r="88" spans="1:15" ht="14" x14ac:dyDescent="0.25">
      <c r="A88" s="156" t="s">
        <v>535</v>
      </c>
      <c r="B88" s="165"/>
      <c r="C88" s="165"/>
      <c r="D88" s="166">
        <v>47028</v>
      </c>
      <c r="E88" s="167">
        <f t="shared" si="2"/>
        <v>25</v>
      </c>
      <c r="F88" s="181">
        <v>47053</v>
      </c>
      <c r="G88" s="167">
        <v>100</v>
      </c>
      <c r="H88" s="167"/>
      <c r="I88" s="167"/>
      <c r="J88" s="167"/>
      <c r="K88" s="167"/>
      <c r="L88" s="167"/>
      <c r="M88" s="167"/>
      <c r="N88" s="167"/>
      <c r="O88" s="167"/>
    </row>
    <row r="89" spans="1:15" ht="42" x14ac:dyDescent="0.25">
      <c r="A89" s="161" t="s">
        <v>440</v>
      </c>
      <c r="B89" s="162" t="s">
        <v>35</v>
      </c>
      <c r="C89" s="162" t="s">
        <v>434</v>
      </c>
      <c r="D89" s="163">
        <v>47028</v>
      </c>
      <c r="E89" s="164">
        <f t="shared" si="2"/>
        <v>25</v>
      </c>
      <c r="F89" s="180">
        <v>47053</v>
      </c>
      <c r="G89" s="164">
        <v>100</v>
      </c>
      <c r="H89" s="164" t="s">
        <v>411</v>
      </c>
      <c r="I89" s="164"/>
      <c r="J89" s="164" t="s">
        <v>419</v>
      </c>
      <c r="K89" s="164" t="s">
        <v>419</v>
      </c>
      <c r="L89" s="164" t="s">
        <v>410</v>
      </c>
      <c r="M89" s="164" t="s">
        <v>419</v>
      </c>
      <c r="N89" s="164" t="s">
        <v>411</v>
      </c>
      <c r="O89" s="164"/>
    </row>
    <row r="90" spans="1:15" ht="14" x14ac:dyDescent="0.25">
      <c r="A90" s="156" t="s">
        <v>536</v>
      </c>
      <c r="B90" s="165"/>
      <c r="C90" s="165"/>
      <c r="D90" s="166">
        <v>47056</v>
      </c>
      <c r="E90" s="167">
        <f t="shared" si="2"/>
        <v>28</v>
      </c>
      <c r="F90" s="181">
        <v>47084</v>
      </c>
      <c r="G90" s="167">
        <v>100</v>
      </c>
      <c r="H90" s="167"/>
      <c r="I90" s="167"/>
      <c r="J90" s="167"/>
      <c r="K90" s="167"/>
      <c r="L90" s="167"/>
      <c r="M90" s="167"/>
      <c r="N90" s="167"/>
      <c r="O90" s="167"/>
    </row>
    <row r="91" spans="1:15" ht="42" x14ac:dyDescent="0.25">
      <c r="A91" s="161" t="s">
        <v>440</v>
      </c>
      <c r="B91" s="162" t="s">
        <v>35</v>
      </c>
      <c r="C91" s="162" t="s">
        <v>434</v>
      </c>
      <c r="D91" s="163">
        <v>47056</v>
      </c>
      <c r="E91" s="164">
        <f t="shared" si="2"/>
        <v>28</v>
      </c>
      <c r="F91" s="180">
        <v>47084</v>
      </c>
      <c r="G91" s="164">
        <v>100</v>
      </c>
      <c r="H91" s="164" t="s">
        <v>411</v>
      </c>
      <c r="I91" s="164"/>
      <c r="J91" s="164" t="s">
        <v>419</v>
      </c>
      <c r="K91" s="164" t="s">
        <v>419</v>
      </c>
      <c r="L91" s="164" t="s">
        <v>410</v>
      </c>
      <c r="M91" s="164" t="s">
        <v>419</v>
      </c>
      <c r="N91" s="164" t="s">
        <v>411</v>
      </c>
      <c r="O91" s="164"/>
    </row>
    <row r="92" spans="1:15" ht="14" x14ac:dyDescent="0.25">
      <c r="A92" s="156" t="s">
        <v>537</v>
      </c>
      <c r="B92" s="165"/>
      <c r="C92" s="165"/>
      <c r="D92" s="166">
        <v>47085</v>
      </c>
      <c r="E92" s="167">
        <f t="shared" si="2"/>
        <v>24</v>
      </c>
      <c r="F92" s="181">
        <v>47109</v>
      </c>
      <c r="G92" s="167">
        <v>100</v>
      </c>
      <c r="H92" s="167"/>
      <c r="I92" s="167"/>
      <c r="J92" s="167"/>
      <c r="K92" s="167"/>
      <c r="L92" s="167"/>
      <c r="M92" s="167"/>
      <c r="N92" s="167"/>
      <c r="O92" s="167"/>
    </row>
    <row r="93" spans="1:15" ht="42" x14ac:dyDescent="0.25">
      <c r="A93" s="161" t="s">
        <v>440</v>
      </c>
      <c r="B93" s="162" t="s">
        <v>35</v>
      </c>
      <c r="C93" s="162" t="s">
        <v>434</v>
      </c>
      <c r="D93" s="163">
        <v>47085</v>
      </c>
      <c r="E93" s="164">
        <f t="shared" si="2"/>
        <v>24</v>
      </c>
      <c r="F93" s="180">
        <v>47109</v>
      </c>
      <c r="G93" s="164">
        <v>100</v>
      </c>
      <c r="H93" s="164" t="s">
        <v>411</v>
      </c>
      <c r="I93" s="164"/>
      <c r="J93" s="164" t="s">
        <v>419</v>
      </c>
      <c r="K93" s="164" t="s">
        <v>419</v>
      </c>
      <c r="L93" s="164" t="s">
        <v>410</v>
      </c>
      <c r="M93" s="164" t="s">
        <v>419</v>
      </c>
      <c r="N93" s="164" t="s">
        <v>411</v>
      </c>
      <c r="O93" s="164"/>
    </row>
    <row r="94" spans="1:15" ht="14" x14ac:dyDescent="0.25">
      <c r="A94" s="156" t="s">
        <v>538</v>
      </c>
      <c r="B94" s="165"/>
      <c r="C94" s="165"/>
      <c r="D94" s="166">
        <v>47120</v>
      </c>
      <c r="E94" s="167">
        <f t="shared" si="2"/>
        <v>27</v>
      </c>
      <c r="F94" s="181">
        <v>47147</v>
      </c>
      <c r="G94" s="167">
        <v>100</v>
      </c>
      <c r="H94" s="167"/>
      <c r="I94" s="167"/>
      <c r="J94" s="167"/>
      <c r="K94" s="167"/>
      <c r="L94" s="167"/>
      <c r="M94" s="167"/>
      <c r="N94" s="167"/>
      <c r="O94" s="167"/>
    </row>
    <row r="95" spans="1:15" ht="42" x14ac:dyDescent="0.25">
      <c r="A95" s="161" t="s">
        <v>440</v>
      </c>
      <c r="B95" s="162" t="s">
        <v>35</v>
      </c>
      <c r="C95" s="162" t="s">
        <v>434</v>
      </c>
      <c r="D95" s="163">
        <v>47120</v>
      </c>
      <c r="E95" s="164">
        <f t="shared" si="2"/>
        <v>27</v>
      </c>
      <c r="F95" s="180">
        <v>47147</v>
      </c>
      <c r="G95" s="164">
        <v>100</v>
      </c>
      <c r="H95" s="164" t="s">
        <v>411</v>
      </c>
      <c r="I95" s="164"/>
      <c r="J95" s="164" t="s">
        <v>419</v>
      </c>
      <c r="K95" s="164" t="s">
        <v>419</v>
      </c>
      <c r="L95" s="164" t="s">
        <v>410</v>
      </c>
      <c r="M95" s="164" t="s">
        <v>419</v>
      </c>
      <c r="N95" s="164" t="s">
        <v>411</v>
      </c>
      <c r="O95" s="164"/>
    </row>
    <row r="96" spans="1:15" ht="14" x14ac:dyDescent="0.25">
      <c r="A96" s="156" t="s">
        <v>539</v>
      </c>
      <c r="B96" s="165"/>
      <c r="C96" s="165"/>
      <c r="D96" s="166">
        <v>47148</v>
      </c>
      <c r="E96" s="167">
        <f t="shared" si="2"/>
        <v>27</v>
      </c>
      <c r="F96" s="181">
        <v>47175</v>
      </c>
      <c r="G96" s="167">
        <v>100</v>
      </c>
      <c r="H96" s="167"/>
      <c r="I96" s="167"/>
      <c r="J96" s="167"/>
      <c r="K96" s="167"/>
      <c r="L96" s="167"/>
      <c r="M96" s="167"/>
      <c r="N96" s="167"/>
      <c r="O96" s="167"/>
    </row>
    <row r="97" spans="1:15" ht="42" x14ac:dyDescent="0.25">
      <c r="A97" s="161" t="s">
        <v>440</v>
      </c>
      <c r="B97" s="162" t="s">
        <v>35</v>
      </c>
      <c r="C97" s="162" t="s">
        <v>434</v>
      </c>
      <c r="D97" s="163">
        <v>47148</v>
      </c>
      <c r="E97" s="164">
        <f t="shared" si="2"/>
        <v>27</v>
      </c>
      <c r="F97" s="180">
        <v>47175</v>
      </c>
      <c r="G97" s="164">
        <v>100</v>
      </c>
      <c r="H97" s="164" t="s">
        <v>411</v>
      </c>
      <c r="I97" s="164"/>
      <c r="J97" s="164" t="s">
        <v>419</v>
      </c>
      <c r="K97" s="164" t="s">
        <v>419</v>
      </c>
      <c r="L97" s="164" t="s">
        <v>410</v>
      </c>
      <c r="M97" s="164" t="s">
        <v>419</v>
      </c>
      <c r="N97" s="164" t="s">
        <v>411</v>
      </c>
      <c r="O97" s="164"/>
    </row>
    <row r="98" spans="1:15" ht="14" x14ac:dyDescent="0.25">
      <c r="A98" s="156" t="s">
        <v>540</v>
      </c>
      <c r="B98" s="165"/>
      <c r="C98" s="165"/>
      <c r="D98" s="166">
        <v>47176</v>
      </c>
      <c r="E98" s="167">
        <f t="shared" si="2"/>
        <v>27</v>
      </c>
      <c r="F98" s="181">
        <v>47203</v>
      </c>
      <c r="G98" s="167">
        <v>160</v>
      </c>
      <c r="H98" s="167"/>
      <c r="I98" s="167"/>
      <c r="J98" s="167"/>
      <c r="K98" s="167"/>
      <c r="L98" s="167"/>
      <c r="M98" s="167"/>
      <c r="N98" s="167"/>
      <c r="O98" s="167"/>
    </row>
    <row r="99" spans="1:15" ht="42" x14ac:dyDescent="0.25">
      <c r="A99" s="159" t="s">
        <v>440</v>
      </c>
      <c r="B99" s="160" t="s">
        <v>35</v>
      </c>
      <c r="C99" s="160" t="s">
        <v>434</v>
      </c>
      <c r="D99" s="184">
        <v>47176</v>
      </c>
      <c r="E99" s="185">
        <f t="shared" si="2"/>
        <v>17</v>
      </c>
      <c r="F99" s="186">
        <v>47193</v>
      </c>
      <c r="G99" s="185">
        <v>100</v>
      </c>
      <c r="H99" s="185" t="s">
        <v>411</v>
      </c>
      <c r="I99" s="185"/>
      <c r="J99" s="185" t="s">
        <v>419</v>
      </c>
      <c r="K99" s="185" t="s">
        <v>419</v>
      </c>
      <c r="L99" s="185" t="s">
        <v>410</v>
      </c>
      <c r="M99" s="185" t="s">
        <v>419</v>
      </c>
      <c r="N99" s="185" t="s">
        <v>411</v>
      </c>
      <c r="O99" s="185"/>
    </row>
    <row r="100" spans="1:15" ht="42" x14ac:dyDescent="0.25">
      <c r="A100" s="159" t="s">
        <v>441</v>
      </c>
      <c r="B100" s="160" t="s">
        <v>34</v>
      </c>
      <c r="C100" s="160" t="s">
        <v>128</v>
      </c>
      <c r="D100" s="184">
        <v>47196</v>
      </c>
      <c r="E100" s="185">
        <f t="shared" si="2"/>
        <v>4</v>
      </c>
      <c r="F100" s="186">
        <v>47200</v>
      </c>
      <c r="G100" s="185">
        <v>50</v>
      </c>
      <c r="H100" s="185"/>
      <c r="I100" s="185"/>
      <c r="J100" s="185" t="s">
        <v>411</v>
      </c>
      <c r="K100" s="185" t="s">
        <v>411</v>
      </c>
      <c r="L100" s="185"/>
      <c r="M100" s="185"/>
      <c r="N100" s="185"/>
      <c r="O100" s="185" t="s">
        <v>410</v>
      </c>
    </row>
    <row r="101" spans="1:15" ht="28" x14ac:dyDescent="0.25">
      <c r="A101" s="159" t="s">
        <v>442</v>
      </c>
      <c r="B101" s="160" t="s">
        <v>417</v>
      </c>
      <c r="C101" s="160" t="s">
        <v>409</v>
      </c>
      <c r="D101" s="184">
        <v>47203</v>
      </c>
      <c r="E101" s="185">
        <v>1</v>
      </c>
      <c r="F101" s="186">
        <v>47203</v>
      </c>
      <c r="G101" s="185">
        <v>10</v>
      </c>
      <c r="H101" s="185" t="s">
        <v>410</v>
      </c>
      <c r="I101" s="185" t="s">
        <v>411</v>
      </c>
      <c r="J101" s="185" t="s">
        <v>411</v>
      </c>
      <c r="K101" s="185" t="s">
        <v>411</v>
      </c>
      <c r="L101" s="185" t="s">
        <v>411</v>
      </c>
      <c r="M101" s="185" t="s">
        <v>411</v>
      </c>
      <c r="N101" s="185" t="s">
        <v>411</v>
      </c>
      <c r="O101" s="185"/>
    </row>
    <row r="102" spans="1:15" ht="14" x14ac:dyDescent="0.25">
      <c r="A102" s="156" t="s">
        <v>541</v>
      </c>
      <c r="B102" s="165"/>
      <c r="C102" s="165"/>
      <c r="D102" s="166">
        <v>47204</v>
      </c>
      <c r="E102" s="167">
        <f>F102-D102</f>
        <v>28</v>
      </c>
      <c r="F102" s="181">
        <v>47232</v>
      </c>
      <c r="G102" s="167">
        <v>63</v>
      </c>
      <c r="H102" s="167"/>
      <c r="I102" s="167"/>
      <c r="J102" s="167"/>
      <c r="K102" s="167"/>
      <c r="L102" s="167"/>
      <c r="M102" s="167"/>
      <c r="N102" s="167"/>
      <c r="O102" s="167"/>
    </row>
    <row r="103" spans="1:15" ht="14" x14ac:dyDescent="0.25">
      <c r="A103" s="159" t="s">
        <v>443</v>
      </c>
      <c r="B103" s="160" t="s">
        <v>36</v>
      </c>
      <c r="C103" s="160" t="s">
        <v>425</v>
      </c>
      <c r="D103" s="184">
        <v>47204</v>
      </c>
      <c r="E103" s="185">
        <v>7</v>
      </c>
      <c r="F103" s="186">
        <v>47228</v>
      </c>
      <c r="G103" s="185">
        <v>50</v>
      </c>
      <c r="H103" s="185" t="s">
        <v>411</v>
      </c>
      <c r="I103" s="185"/>
      <c r="J103" s="185" t="s">
        <v>419</v>
      </c>
      <c r="K103" s="185" t="s">
        <v>410</v>
      </c>
      <c r="L103" s="185"/>
      <c r="M103" s="185"/>
      <c r="N103" s="185"/>
      <c r="O103" s="185"/>
    </row>
    <row r="104" spans="1:15" ht="14" x14ac:dyDescent="0.25">
      <c r="A104" s="159" t="s">
        <v>444</v>
      </c>
      <c r="B104" s="160" t="s">
        <v>36</v>
      </c>
      <c r="C104" s="160" t="s">
        <v>128</v>
      </c>
      <c r="D104" s="184">
        <v>47231</v>
      </c>
      <c r="E104" s="185">
        <v>1</v>
      </c>
      <c r="F104" s="184">
        <v>47231</v>
      </c>
      <c r="G104" s="185">
        <v>10</v>
      </c>
      <c r="H104" s="185"/>
      <c r="I104" s="185"/>
      <c r="J104" s="185" t="s">
        <v>411</v>
      </c>
      <c r="K104" s="185" t="s">
        <v>411</v>
      </c>
      <c r="L104" s="185"/>
      <c r="M104" s="185"/>
      <c r="N104" s="185"/>
      <c r="O104" s="185" t="s">
        <v>410</v>
      </c>
    </row>
    <row r="105" spans="1:15" ht="28" x14ac:dyDescent="0.25">
      <c r="A105" s="159" t="s">
        <v>445</v>
      </c>
      <c r="B105" s="160" t="s">
        <v>417</v>
      </c>
      <c r="C105" s="160" t="s">
        <v>409</v>
      </c>
      <c r="D105" s="184">
        <v>47232</v>
      </c>
      <c r="E105" s="185">
        <v>1</v>
      </c>
      <c r="F105" s="184">
        <v>47232</v>
      </c>
      <c r="G105" s="185">
        <v>3</v>
      </c>
      <c r="H105" s="185" t="s">
        <v>410</v>
      </c>
      <c r="I105" s="185" t="s">
        <v>411</v>
      </c>
      <c r="J105" s="185" t="s">
        <v>411</v>
      </c>
      <c r="K105" s="185" t="s">
        <v>411</v>
      </c>
      <c r="L105" s="185" t="s">
        <v>411</v>
      </c>
      <c r="M105" s="185" t="s">
        <v>411</v>
      </c>
      <c r="N105" s="185" t="s">
        <v>411</v>
      </c>
      <c r="O105" s="185"/>
    </row>
    <row r="106" spans="1:15" ht="14" x14ac:dyDescent="0.25">
      <c r="A106" s="156" t="s">
        <v>542</v>
      </c>
      <c r="B106" s="165"/>
      <c r="C106" s="165"/>
      <c r="D106" s="166">
        <v>47233</v>
      </c>
      <c r="E106" s="167"/>
      <c r="F106" s="181">
        <v>47263</v>
      </c>
      <c r="G106" s="167">
        <v>63</v>
      </c>
      <c r="H106" s="167"/>
      <c r="I106" s="167"/>
      <c r="J106" s="167"/>
      <c r="K106" s="167"/>
      <c r="L106" s="167"/>
      <c r="M106" s="167"/>
      <c r="N106" s="167"/>
      <c r="O106" s="167"/>
    </row>
    <row r="107" spans="1:15" ht="14" x14ac:dyDescent="0.25">
      <c r="A107" s="159" t="s">
        <v>446</v>
      </c>
      <c r="B107" s="160" t="s">
        <v>45</v>
      </c>
      <c r="C107" s="160" t="s">
        <v>425</v>
      </c>
      <c r="D107" s="184">
        <v>47233</v>
      </c>
      <c r="E107" s="185">
        <f>F107-D107</f>
        <v>23</v>
      </c>
      <c r="F107" s="186">
        <v>47256</v>
      </c>
      <c r="G107" s="185">
        <v>50</v>
      </c>
      <c r="H107" s="185" t="s">
        <v>411</v>
      </c>
      <c r="I107" s="185"/>
      <c r="J107" s="185" t="s">
        <v>419</v>
      </c>
      <c r="K107" s="185" t="s">
        <v>410</v>
      </c>
      <c r="L107" s="185"/>
      <c r="M107" s="185"/>
      <c r="N107" s="185"/>
      <c r="O107" s="185"/>
    </row>
    <row r="108" spans="1:15" ht="28" x14ac:dyDescent="0.25">
      <c r="A108" s="159" t="s">
        <v>447</v>
      </c>
      <c r="B108" s="160" t="s">
        <v>45</v>
      </c>
      <c r="C108" s="160" t="s">
        <v>128</v>
      </c>
      <c r="D108" s="184">
        <v>47260</v>
      </c>
      <c r="E108" s="185">
        <f>F108-D108</f>
        <v>2</v>
      </c>
      <c r="F108" s="186">
        <v>47262</v>
      </c>
      <c r="G108" s="185">
        <v>10</v>
      </c>
      <c r="H108" s="185"/>
      <c r="I108" s="185"/>
      <c r="J108" s="185" t="s">
        <v>411</v>
      </c>
      <c r="K108" s="185" t="s">
        <v>411</v>
      </c>
      <c r="L108" s="185"/>
      <c r="M108" s="185"/>
      <c r="N108" s="185"/>
      <c r="O108" s="185" t="s">
        <v>410</v>
      </c>
    </row>
    <row r="109" spans="1:15" ht="28" x14ac:dyDescent="0.25">
      <c r="A109" s="159" t="s">
        <v>448</v>
      </c>
      <c r="B109" s="160" t="s">
        <v>417</v>
      </c>
      <c r="C109" s="160" t="s">
        <v>409</v>
      </c>
      <c r="D109" s="184">
        <v>47263</v>
      </c>
      <c r="E109" s="185">
        <v>1</v>
      </c>
      <c r="F109" s="186">
        <v>47263</v>
      </c>
      <c r="G109" s="185">
        <v>3</v>
      </c>
      <c r="H109" s="185" t="s">
        <v>410</v>
      </c>
      <c r="I109" s="185" t="s">
        <v>411</v>
      </c>
      <c r="J109" s="185" t="s">
        <v>411</v>
      </c>
      <c r="K109" s="185" t="s">
        <v>411</v>
      </c>
      <c r="L109" s="185" t="s">
        <v>411</v>
      </c>
      <c r="M109" s="185" t="s">
        <v>411</v>
      </c>
      <c r="N109" s="185" t="s">
        <v>411</v>
      </c>
      <c r="O109" s="185"/>
    </row>
    <row r="110" spans="1:15" ht="14" x14ac:dyDescent="0.25">
      <c r="A110" s="156" t="s">
        <v>543</v>
      </c>
      <c r="B110" s="165"/>
      <c r="C110" s="165"/>
      <c r="D110" s="166">
        <v>47266</v>
      </c>
      <c r="E110" s="167">
        <f t="shared" ref="E110:E125" si="3">F110-D110</f>
        <v>28</v>
      </c>
      <c r="F110" s="181">
        <v>47294</v>
      </c>
      <c r="G110" s="167">
        <v>75</v>
      </c>
      <c r="H110" s="167"/>
      <c r="I110" s="167"/>
      <c r="J110" s="167"/>
      <c r="K110" s="167"/>
      <c r="L110" s="167"/>
      <c r="M110" s="167"/>
      <c r="N110" s="167"/>
      <c r="O110" s="167"/>
    </row>
    <row r="111" spans="1:15" ht="42" x14ac:dyDescent="0.25">
      <c r="A111" s="161" t="s">
        <v>449</v>
      </c>
      <c r="B111" s="162" t="s">
        <v>35</v>
      </c>
      <c r="C111" s="162" t="s">
        <v>425</v>
      </c>
      <c r="D111" s="163">
        <v>47266</v>
      </c>
      <c r="E111" s="164">
        <f t="shared" si="3"/>
        <v>28</v>
      </c>
      <c r="F111" s="180">
        <v>47294</v>
      </c>
      <c r="G111" s="164">
        <v>75</v>
      </c>
      <c r="H111" s="164" t="s">
        <v>411</v>
      </c>
      <c r="I111" s="164"/>
      <c r="J111" s="164" t="s">
        <v>419</v>
      </c>
      <c r="K111" s="164" t="s">
        <v>410</v>
      </c>
      <c r="L111" s="164"/>
      <c r="M111" s="164"/>
      <c r="N111" s="164"/>
      <c r="O111" s="164"/>
    </row>
    <row r="112" spans="1:15" ht="14" x14ac:dyDescent="0.25">
      <c r="A112" s="156" t="s">
        <v>543</v>
      </c>
      <c r="B112" s="165"/>
      <c r="C112" s="165"/>
      <c r="D112" s="166">
        <v>47295</v>
      </c>
      <c r="E112" s="167">
        <f t="shared" si="3"/>
        <v>24</v>
      </c>
      <c r="F112" s="181">
        <v>47319</v>
      </c>
      <c r="G112" s="167">
        <v>75</v>
      </c>
      <c r="H112" s="167"/>
      <c r="I112" s="167"/>
      <c r="J112" s="167"/>
      <c r="K112" s="167"/>
      <c r="L112" s="167"/>
      <c r="M112" s="167"/>
      <c r="N112" s="167"/>
      <c r="O112" s="167"/>
    </row>
    <row r="113" spans="1:15" ht="42" x14ac:dyDescent="0.25">
      <c r="A113" s="161" t="s">
        <v>449</v>
      </c>
      <c r="B113" s="162" t="s">
        <v>35</v>
      </c>
      <c r="C113" s="162" t="s">
        <v>425</v>
      </c>
      <c r="D113" s="163">
        <v>47295</v>
      </c>
      <c r="E113" s="164">
        <f t="shared" si="3"/>
        <v>24</v>
      </c>
      <c r="F113" s="180">
        <v>47319</v>
      </c>
      <c r="G113" s="164">
        <v>75</v>
      </c>
      <c r="H113" s="164" t="s">
        <v>411</v>
      </c>
      <c r="I113" s="164"/>
      <c r="J113" s="164" t="s">
        <v>419</v>
      </c>
      <c r="K113" s="164" t="s">
        <v>410</v>
      </c>
      <c r="L113" s="164"/>
      <c r="M113" s="164"/>
      <c r="N113" s="164"/>
      <c r="O113" s="164"/>
    </row>
    <row r="114" spans="1:15" ht="14" x14ac:dyDescent="0.25">
      <c r="A114" s="156" t="s">
        <v>543</v>
      </c>
      <c r="B114" s="165"/>
      <c r="C114" s="165"/>
      <c r="D114" s="166">
        <v>47322</v>
      </c>
      <c r="E114" s="167">
        <f t="shared" si="3"/>
        <v>42</v>
      </c>
      <c r="F114" s="181">
        <v>47364</v>
      </c>
      <c r="G114" s="167">
        <v>75</v>
      </c>
      <c r="H114" s="167"/>
      <c r="I114" s="167"/>
      <c r="J114" s="167"/>
      <c r="K114" s="167"/>
      <c r="L114" s="167"/>
      <c r="M114" s="167"/>
      <c r="N114" s="167"/>
      <c r="O114" s="167"/>
    </row>
    <row r="115" spans="1:15" ht="42" x14ac:dyDescent="0.25">
      <c r="A115" s="161" t="s">
        <v>449</v>
      </c>
      <c r="B115" s="162" t="s">
        <v>35</v>
      </c>
      <c r="C115" s="162" t="s">
        <v>425</v>
      </c>
      <c r="D115" s="163">
        <v>47322</v>
      </c>
      <c r="E115" s="164">
        <f t="shared" si="3"/>
        <v>42</v>
      </c>
      <c r="F115" s="180">
        <v>47364</v>
      </c>
      <c r="G115" s="164">
        <v>75</v>
      </c>
      <c r="H115" s="164" t="s">
        <v>411</v>
      </c>
      <c r="I115" s="164"/>
      <c r="J115" s="164" t="s">
        <v>419</v>
      </c>
      <c r="K115" s="164" t="s">
        <v>410</v>
      </c>
      <c r="L115" s="164"/>
      <c r="M115" s="164"/>
      <c r="N115" s="164"/>
      <c r="O115" s="164"/>
    </row>
    <row r="116" spans="1:15" ht="14" x14ac:dyDescent="0.25">
      <c r="A116" s="156" t="s">
        <v>543</v>
      </c>
      <c r="B116" s="165"/>
      <c r="C116" s="165"/>
      <c r="D116" s="166">
        <v>47365</v>
      </c>
      <c r="E116" s="167">
        <f t="shared" si="3"/>
        <v>24</v>
      </c>
      <c r="F116" s="181">
        <v>47389</v>
      </c>
      <c r="G116" s="167">
        <v>75</v>
      </c>
      <c r="H116" s="167"/>
      <c r="I116" s="167"/>
      <c r="J116" s="167"/>
      <c r="K116" s="167"/>
      <c r="L116" s="167"/>
      <c r="M116" s="167"/>
      <c r="N116" s="167"/>
      <c r="O116" s="167"/>
    </row>
    <row r="117" spans="1:15" ht="42" x14ac:dyDescent="0.25">
      <c r="A117" s="161" t="s">
        <v>449</v>
      </c>
      <c r="B117" s="162" t="s">
        <v>35</v>
      </c>
      <c r="C117" s="162" t="s">
        <v>425</v>
      </c>
      <c r="D117" s="163">
        <v>47365</v>
      </c>
      <c r="E117" s="164">
        <f t="shared" si="3"/>
        <v>24</v>
      </c>
      <c r="F117" s="180">
        <v>47389</v>
      </c>
      <c r="G117" s="164">
        <v>75</v>
      </c>
      <c r="H117" s="164" t="s">
        <v>411</v>
      </c>
      <c r="I117" s="164"/>
      <c r="J117" s="164" t="s">
        <v>419</v>
      </c>
      <c r="K117" s="164" t="s">
        <v>410</v>
      </c>
      <c r="L117" s="164"/>
      <c r="M117" s="164"/>
      <c r="N117" s="164"/>
      <c r="O117" s="164"/>
    </row>
    <row r="118" spans="1:15" ht="14" x14ac:dyDescent="0.25">
      <c r="A118" s="156" t="s">
        <v>543</v>
      </c>
      <c r="B118" s="165"/>
      <c r="C118" s="165"/>
      <c r="D118" s="166">
        <v>47392</v>
      </c>
      <c r="E118" s="167">
        <f t="shared" si="3"/>
        <v>25</v>
      </c>
      <c r="F118" s="181">
        <v>47417</v>
      </c>
      <c r="G118" s="167">
        <v>75</v>
      </c>
      <c r="H118" s="167"/>
      <c r="I118" s="167"/>
      <c r="J118" s="167"/>
      <c r="K118" s="167"/>
      <c r="L118" s="167"/>
      <c r="M118" s="167"/>
      <c r="N118" s="167"/>
      <c r="O118" s="167"/>
    </row>
    <row r="119" spans="1:15" ht="42" x14ac:dyDescent="0.25">
      <c r="A119" s="161" t="s">
        <v>449</v>
      </c>
      <c r="B119" s="162" t="s">
        <v>35</v>
      </c>
      <c r="C119" s="162" t="s">
        <v>425</v>
      </c>
      <c r="D119" s="163">
        <v>47392</v>
      </c>
      <c r="E119" s="164">
        <f t="shared" si="3"/>
        <v>25</v>
      </c>
      <c r="F119" s="180">
        <v>47417</v>
      </c>
      <c r="G119" s="164">
        <v>75</v>
      </c>
      <c r="H119" s="164" t="s">
        <v>411</v>
      </c>
      <c r="I119" s="164"/>
      <c r="J119" s="164" t="s">
        <v>419</v>
      </c>
      <c r="K119" s="164" t="s">
        <v>410</v>
      </c>
      <c r="L119" s="164"/>
      <c r="M119" s="164"/>
      <c r="N119" s="164"/>
      <c r="O119" s="164"/>
    </row>
    <row r="120" spans="1:15" ht="14" x14ac:dyDescent="0.25">
      <c r="A120" s="156" t="s">
        <v>543</v>
      </c>
      <c r="B120" s="165"/>
      <c r="C120" s="165"/>
      <c r="D120" s="166">
        <v>47420</v>
      </c>
      <c r="E120" s="167">
        <f t="shared" si="3"/>
        <v>29</v>
      </c>
      <c r="F120" s="181">
        <v>47449</v>
      </c>
      <c r="G120" s="167">
        <v>75</v>
      </c>
      <c r="H120" s="167"/>
      <c r="I120" s="167"/>
      <c r="J120" s="167"/>
      <c r="K120" s="167"/>
      <c r="L120" s="167"/>
      <c r="M120" s="167"/>
      <c r="N120" s="167"/>
      <c r="O120" s="167"/>
    </row>
    <row r="121" spans="1:15" ht="42" x14ac:dyDescent="0.25">
      <c r="A121" s="161" t="s">
        <v>449</v>
      </c>
      <c r="B121" s="162" t="s">
        <v>35</v>
      </c>
      <c r="C121" s="162" t="s">
        <v>425</v>
      </c>
      <c r="D121" s="163">
        <v>47420</v>
      </c>
      <c r="E121" s="164">
        <f t="shared" si="3"/>
        <v>29</v>
      </c>
      <c r="F121" s="180">
        <v>47449</v>
      </c>
      <c r="G121" s="164">
        <v>75</v>
      </c>
      <c r="H121" s="164" t="s">
        <v>411</v>
      </c>
      <c r="I121" s="164"/>
      <c r="J121" s="164" t="s">
        <v>419</v>
      </c>
      <c r="K121" s="164" t="s">
        <v>410</v>
      </c>
      <c r="L121" s="164"/>
      <c r="M121" s="164"/>
      <c r="N121" s="164"/>
      <c r="O121" s="164"/>
    </row>
    <row r="122" spans="1:15" ht="14" x14ac:dyDescent="0.25">
      <c r="A122" s="156" t="s">
        <v>543</v>
      </c>
      <c r="B122" s="165"/>
      <c r="C122" s="165"/>
      <c r="D122" s="166">
        <v>47450</v>
      </c>
      <c r="E122" s="167">
        <f t="shared" si="3"/>
        <v>23</v>
      </c>
      <c r="F122" s="181">
        <v>47473</v>
      </c>
      <c r="G122" s="167">
        <v>75</v>
      </c>
      <c r="H122" s="167"/>
      <c r="I122" s="167"/>
      <c r="J122" s="167"/>
      <c r="K122" s="167"/>
      <c r="L122" s="167"/>
      <c r="M122" s="167"/>
      <c r="N122" s="167"/>
      <c r="O122" s="167"/>
    </row>
    <row r="123" spans="1:15" ht="42" x14ac:dyDescent="0.25">
      <c r="A123" s="161" t="s">
        <v>449</v>
      </c>
      <c r="B123" s="162" t="s">
        <v>35</v>
      </c>
      <c r="C123" s="162" t="s">
        <v>425</v>
      </c>
      <c r="D123" s="163">
        <v>47450</v>
      </c>
      <c r="E123" s="164">
        <f t="shared" si="3"/>
        <v>23</v>
      </c>
      <c r="F123" s="180">
        <v>47473</v>
      </c>
      <c r="G123" s="164">
        <v>75</v>
      </c>
      <c r="H123" s="164" t="s">
        <v>411</v>
      </c>
      <c r="I123" s="164"/>
      <c r="J123" s="164" t="s">
        <v>419</v>
      </c>
      <c r="K123" s="164" t="s">
        <v>410</v>
      </c>
      <c r="L123" s="164"/>
      <c r="M123" s="164"/>
      <c r="N123" s="164"/>
      <c r="O123" s="164"/>
    </row>
    <row r="124" spans="1:15" ht="14" x14ac:dyDescent="0.25">
      <c r="A124" s="156" t="s">
        <v>543</v>
      </c>
      <c r="B124" s="165"/>
      <c r="C124" s="165"/>
      <c r="D124" s="166">
        <v>47485</v>
      </c>
      <c r="E124" s="167">
        <f t="shared" si="3"/>
        <v>23</v>
      </c>
      <c r="F124" s="181">
        <v>47508</v>
      </c>
      <c r="G124" s="167">
        <v>128</v>
      </c>
      <c r="H124" s="167"/>
      <c r="I124" s="167"/>
      <c r="J124" s="167"/>
      <c r="K124" s="167"/>
      <c r="L124" s="167"/>
      <c r="M124" s="167"/>
      <c r="N124" s="167"/>
      <c r="O124" s="167"/>
    </row>
    <row r="125" spans="1:15" ht="42" x14ac:dyDescent="0.25">
      <c r="A125" s="159" t="s">
        <v>449</v>
      </c>
      <c r="B125" s="160" t="s">
        <v>35</v>
      </c>
      <c r="C125" s="160" t="s">
        <v>425</v>
      </c>
      <c r="D125" s="184">
        <v>47485</v>
      </c>
      <c r="E125" s="185">
        <f t="shared" si="3"/>
        <v>16</v>
      </c>
      <c r="F125" s="186">
        <v>47501</v>
      </c>
      <c r="G125" s="185">
        <v>75</v>
      </c>
      <c r="H125" s="185" t="s">
        <v>411</v>
      </c>
      <c r="I125" s="185"/>
      <c r="J125" s="185" t="s">
        <v>419</v>
      </c>
      <c r="K125" s="185" t="s">
        <v>410</v>
      </c>
      <c r="L125" s="185"/>
      <c r="M125" s="185"/>
      <c r="N125" s="185"/>
      <c r="O125" s="185"/>
    </row>
    <row r="126" spans="1:15" ht="14" x14ac:dyDescent="0.25">
      <c r="A126" s="159" t="s">
        <v>450</v>
      </c>
      <c r="B126" s="160" t="s">
        <v>35</v>
      </c>
      <c r="C126" s="160" t="s">
        <v>128</v>
      </c>
      <c r="D126" s="184">
        <v>47504</v>
      </c>
      <c r="E126" s="185">
        <v>3</v>
      </c>
      <c r="F126" s="186">
        <v>47507</v>
      </c>
      <c r="G126" s="185">
        <v>50</v>
      </c>
      <c r="H126" s="185"/>
      <c r="I126" s="185"/>
      <c r="J126" s="185" t="s">
        <v>411</v>
      </c>
      <c r="K126" s="185" t="s">
        <v>411</v>
      </c>
      <c r="L126" s="185"/>
      <c r="M126" s="185"/>
      <c r="N126" s="185"/>
      <c r="O126" s="185" t="s">
        <v>410</v>
      </c>
    </row>
    <row r="127" spans="1:15" ht="28" x14ac:dyDescent="0.25">
      <c r="A127" s="159" t="s">
        <v>451</v>
      </c>
      <c r="B127" s="160" t="s">
        <v>417</v>
      </c>
      <c r="C127" s="160" t="s">
        <v>409</v>
      </c>
      <c r="D127" s="184">
        <v>47508</v>
      </c>
      <c r="E127" s="185">
        <v>1</v>
      </c>
      <c r="F127" s="186">
        <v>47508</v>
      </c>
      <c r="G127" s="185">
        <v>3</v>
      </c>
      <c r="H127" s="185" t="s">
        <v>410</v>
      </c>
      <c r="I127" s="185" t="s">
        <v>411</v>
      </c>
      <c r="J127" s="185" t="s">
        <v>411</v>
      </c>
      <c r="K127" s="185" t="s">
        <v>411</v>
      </c>
      <c r="L127" s="185" t="s">
        <v>411</v>
      </c>
      <c r="M127" s="185" t="s">
        <v>411</v>
      </c>
      <c r="N127" s="185" t="s">
        <v>411</v>
      </c>
      <c r="O127" s="185"/>
    </row>
    <row r="128" spans="1:15" ht="14" x14ac:dyDescent="0.25">
      <c r="A128" s="156" t="s">
        <v>544</v>
      </c>
      <c r="B128" s="165"/>
      <c r="C128" s="165"/>
      <c r="D128" s="166">
        <v>47511</v>
      </c>
      <c r="E128" s="167">
        <f>F128-D128</f>
        <v>25</v>
      </c>
      <c r="F128" s="181">
        <v>47536</v>
      </c>
      <c r="G128" s="167">
        <v>63</v>
      </c>
      <c r="H128" s="167"/>
      <c r="I128" s="167"/>
      <c r="J128" s="167"/>
      <c r="K128" s="167"/>
      <c r="L128" s="167"/>
      <c r="M128" s="167"/>
      <c r="N128" s="167"/>
      <c r="O128" s="167"/>
    </row>
    <row r="129" spans="1:15" ht="14" x14ac:dyDescent="0.25">
      <c r="A129" s="159" t="s">
        <v>452</v>
      </c>
      <c r="B129" s="160" t="s">
        <v>35</v>
      </c>
      <c r="C129" s="160" t="s">
        <v>425</v>
      </c>
      <c r="D129" s="184">
        <v>47511</v>
      </c>
      <c r="E129" s="185">
        <f>F129-D129</f>
        <v>18</v>
      </c>
      <c r="F129" s="186">
        <v>47529</v>
      </c>
      <c r="G129" s="185">
        <v>50</v>
      </c>
      <c r="H129" s="185" t="s">
        <v>411</v>
      </c>
      <c r="I129" s="185"/>
      <c r="J129" s="185" t="s">
        <v>419</v>
      </c>
      <c r="K129" s="185" t="s">
        <v>419</v>
      </c>
      <c r="L129" s="185"/>
      <c r="M129" s="185"/>
      <c r="N129" s="185" t="s">
        <v>427</v>
      </c>
      <c r="O129" s="185"/>
    </row>
    <row r="130" spans="1:15" ht="28" x14ac:dyDescent="0.25">
      <c r="A130" s="159" t="s">
        <v>453</v>
      </c>
      <c r="B130" s="160" t="s">
        <v>35</v>
      </c>
      <c r="C130" s="160" t="s">
        <v>128</v>
      </c>
      <c r="D130" s="184">
        <v>47532</v>
      </c>
      <c r="E130" s="185">
        <f>F130-D130</f>
        <v>3</v>
      </c>
      <c r="F130" s="184">
        <v>47535</v>
      </c>
      <c r="G130" s="185">
        <v>10</v>
      </c>
      <c r="H130" s="185"/>
      <c r="I130" s="185"/>
      <c r="J130" s="185" t="s">
        <v>411</v>
      </c>
      <c r="K130" s="185" t="s">
        <v>411</v>
      </c>
      <c r="L130" s="185"/>
      <c r="M130" s="185"/>
      <c r="N130" s="185"/>
      <c r="O130" s="185" t="s">
        <v>410</v>
      </c>
    </row>
    <row r="131" spans="1:15" ht="70" x14ac:dyDescent="0.25">
      <c r="A131" s="159" t="s">
        <v>454</v>
      </c>
      <c r="B131" s="160" t="s">
        <v>417</v>
      </c>
      <c r="C131" s="160" t="s">
        <v>409</v>
      </c>
      <c r="D131" s="184">
        <v>47536</v>
      </c>
      <c r="E131" s="185">
        <v>1</v>
      </c>
      <c r="F131" s="184">
        <v>47536</v>
      </c>
      <c r="G131" s="185">
        <v>3</v>
      </c>
      <c r="H131" s="185" t="s">
        <v>410</v>
      </c>
      <c r="I131" s="185" t="s">
        <v>411</v>
      </c>
      <c r="J131" s="185" t="s">
        <v>411</v>
      </c>
      <c r="K131" s="185" t="s">
        <v>411</v>
      </c>
      <c r="L131" s="185" t="s">
        <v>411</v>
      </c>
      <c r="M131" s="185" t="s">
        <v>411</v>
      </c>
      <c r="N131" s="185" t="s">
        <v>411</v>
      </c>
      <c r="O131" s="185"/>
    </row>
    <row r="132" spans="1:15" ht="14" x14ac:dyDescent="0.25">
      <c r="A132" s="156" t="s">
        <v>545</v>
      </c>
      <c r="B132" s="165"/>
      <c r="C132" s="165"/>
      <c r="D132" s="166">
        <v>47539</v>
      </c>
      <c r="E132" s="167">
        <f>F132-D132</f>
        <v>312</v>
      </c>
      <c r="F132" s="181">
        <v>47851</v>
      </c>
      <c r="G132" s="167">
        <v>325</v>
      </c>
      <c r="H132" s="167"/>
      <c r="I132" s="167"/>
      <c r="J132" s="167"/>
      <c r="K132" s="167"/>
      <c r="L132" s="167"/>
      <c r="M132" s="167"/>
      <c r="N132" s="167"/>
      <c r="O132" s="167"/>
    </row>
    <row r="133" spans="1:15" ht="28" x14ac:dyDescent="0.25">
      <c r="A133" s="159" t="s">
        <v>455</v>
      </c>
      <c r="B133" s="160" t="s">
        <v>35</v>
      </c>
      <c r="C133" s="160" t="s">
        <v>425</v>
      </c>
      <c r="D133" s="184">
        <v>47539</v>
      </c>
      <c r="E133" s="185">
        <f>F133-D133</f>
        <v>277</v>
      </c>
      <c r="F133" s="186">
        <v>47816</v>
      </c>
      <c r="G133" s="185">
        <v>100</v>
      </c>
      <c r="H133" s="185" t="s">
        <v>427</v>
      </c>
      <c r="I133" s="185" t="s">
        <v>411</v>
      </c>
      <c r="J133" s="185" t="s">
        <v>413</v>
      </c>
      <c r="K133" s="185" t="s">
        <v>419</v>
      </c>
      <c r="L133" s="185" t="s">
        <v>413</v>
      </c>
      <c r="M133" s="185" t="s">
        <v>413</v>
      </c>
      <c r="N133" s="185" t="s">
        <v>413</v>
      </c>
      <c r="O133" s="185"/>
    </row>
    <row r="134" spans="1:15" ht="14" x14ac:dyDescent="0.25">
      <c r="A134" s="159" t="s">
        <v>456</v>
      </c>
      <c r="B134" s="160" t="s">
        <v>34</v>
      </c>
      <c r="C134" s="160" t="s">
        <v>128</v>
      </c>
      <c r="D134" s="184">
        <v>47819</v>
      </c>
      <c r="E134" s="185">
        <v>18</v>
      </c>
      <c r="F134" s="186">
        <v>47837</v>
      </c>
      <c r="G134" s="185">
        <v>75</v>
      </c>
      <c r="H134" s="185" t="s">
        <v>427</v>
      </c>
      <c r="I134" s="185" t="s">
        <v>411</v>
      </c>
      <c r="J134" s="185" t="s">
        <v>411</v>
      </c>
      <c r="K134" s="185" t="s">
        <v>411</v>
      </c>
      <c r="L134" s="185" t="s">
        <v>413</v>
      </c>
      <c r="M134" s="185" t="s">
        <v>413</v>
      </c>
      <c r="N134" s="185" t="s">
        <v>413</v>
      </c>
      <c r="O134" s="185" t="s">
        <v>419</v>
      </c>
    </row>
    <row r="135" spans="1:15" ht="28" x14ac:dyDescent="0.25">
      <c r="A135" s="159" t="s">
        <v>457</v>
      </c>
      <c r="B135" s="160" t="s">
        <v>34</v>
      </c>
      <c r="C135" s="160" t="s">
        <v>409</v>
      </c>
      <c r="D135" s="184">
        <v>47850</v>
      </c>
      <c r="E135" s="185">
        <v>1</v>
      </c>
      <c r="F135" s="186">
        <v>47850</v>
      </c>
      <c r="G135" s="185">
        <v>50</v>
      </c>
      <c r="H135" s="185" t="s">
        <v>410</v>
      </c>
      <c r="I135" s="185" t="s">
        <v>411</v>
      </c>
      <c r="J135" s="185" t="s">
        <v>411</v>
      </c>
      <c r="K135" s="185" t="s">
        <v>411</v>
      </c>
      <c r="L135" s="185" t="s">
        <v>411</v>
      </c>
      <c r="M135" s="185" t="s">
        <v>411</v>
      </c>
      <c r="N135" s="185" t="s">
        <v>411</v>
      </c>
      <c r="O135" s="185" t="s">
        <v>411</v>
      </c>
    </row>
    <row r="136" spans="1:15" ht="14" x14ac:dyDescent="0.25">
      <c r="A136" s="159" t="s">
        <v>458</v>
      </c>
      <c r="B136" s="160" t="s">
        <v>417</v>
      </c>
      <c r="C136" s="160" t="s">
        <v>425</v>
      </c>
      <c r="D136" s="184" t="s">
        <v>459</v>
      </c>
      <c r="E136" s="185">
        <v>1</v>
      </c>
      <c r="F136" s="186">
        <v>47851</v>
      </c>
      <c r="G136" s="185">
        <v>100</v>
      </c>
      <c r="H136" s="185" t="s">
        <v>427</v>
      </c>
      <c r="I136" s="185" t="s">
        <v>411</v>
      </c>
      <c r="J136" s="185" t="s">
        <v>419</v>
      </c>
      <c r="K136" s="185" t="s">
        <v>419</v>
      </c>
      <c r="L136" s="185" t="s">
        <v>411</v>
      </c>
      <c r="M136" s="185" t="s">
        <v>411</v>
      </c>
      <c r="N136" s="185" t="s">
        <v>411</v>
      </c>
      <c r="O136" s="185" t="s">
        <v>413</v>
      </c>
    </row>
    <row r="137" spans="1:15" ht="14" x14ac:dyDescent="0.25">
      <c r="A137" s="156" t="s">
        <v>546</v>
      </c>
      <c r="B137" s="165"/>
      <c r="C137" s="165"/>
      <c r="D137" s="166">
        <v>47852</v>
      </c>
      <c r="E137" s="167" t="s">
        <v>314</v>
      </c>
      <c r="F137" s="181" t="s">
        <v>314</v>
      </c>
      <c r="G137" s="167">
        <v>130</v>
      </c>
      <c r="H137" s="167"/>
      <c r="I137" s="167"/>
      <c r="J137" s="167"/>
      <c r="K137" s="167"/>
      <c r="L137" s="167"/>
      <c r="M137" s="167"/>
      <c r="N137" s="167"/>
      <c r="O137" s="167"/>
    </row>
    <row r="138" spans="1:15" ht="14" x14ac:dyDescent="0.25">
      <c r="A138" s="159" t="s">
        <v>460</v>
      </c>
      <c r="B138" s="160" t="s">
        <v>417</v>
      </c>
      <c r="C138" s="160" t="s">
        <v>409</v>
      </c>
      <c r="D138" s="184">
        <v>47875</v>
      </c>
      <c r="E138" s="185">
        <v>1</v>
      </c>
      <c r="F138" s="186">
        <v>47875</v>
      </c>
      <c r="G138" s="185">
        <v>50</v>
      </c>
      <c r="H138" s="185" t="s">
        <v>410</v>
      </c>
      <c r="I138" s="185" t="s">
        <v>411</v>
      </c>
      <c r="J138" s="185" t="s">
        <v>411</v>
      </c>
      <c r="K138" s="185" t="s">
        <v>411</v>
      </c>
      <c r="L138" s="185" t="s">
        <v>411</v>
      </c>
      <c r="M138" s="185" t="s">
        <v>411</v>
      </c>
      <c r="N138" s="185" t="s">
        <v>411</v>
      </c>
      <c r="O138" s="185" t="s">
        <v>411</v>
      </c>
    </row>
    <row r="139" spans="1:15" ht="14" x14ac:dyDescent="0.25">
      <c r="A139" s="159" t="s">
        <v>461</v>
      </c>
      <c r="B139" s="160" t="s">
        <v>36</v>
      </c>
      <c r="C139" s="160" t="s">
        <v>425</v>
      </c>
      <c r="D139" s="184" t="s">
        <v>314</v>
      </c>
      <c r="E139" s="185" t="s">
        <v>314</v>
      </c>
      <c r="F139" s="186" t="s">
        <v>314</v>
      </c>
      <c r="G139" s="185">
        <v>50</v>
      </c>
      <c r="H139" s="185" t="s">
        <v>411</v>
      </c>
      <c r="I139" s="185"/>
      <c r="J139" s="185" t="s">
        <v>419</v>
      </c>
      <c r="K139" s="185" t="s">
        <v>410</v>
      </c>
      <c r="L139" s="185"/>
      <c r="M139" s="185"/>
      <c r="N139" s="185"/>
      <c r="O139" s="185"/>
    </row>
    <row r="140" spans="1:15" ht="14" x14ac:dyDescent="0.25">
      <c r="A140" s="159" t="s">
        <v>462</v>
      </c>
      <c r="B140" s="160" t="s">
        <v>45</v>
      </c>
      <c r="C140" s="160" t="s">
        <v>425</v>
      </c>
      <c r="D140" s="184" t="s">
        <v>314</v>
      </c>
      <c r="E140" s="185" t="s">
        <v>314</v>
      </c>
      <c r="F140" s="186" t="s">
        <v>314</v>
      </c>
      <c r="G140" s="185">
        <v>30</v>
      </c>
      <c r="H140" s="185" t="s">
        <v>411</v>
      </c>
      <c r="I140" s="185"/>
      <c r="J140" s="185" t="s">
        <v>419</v>
      </c>
      <c r="K140" s="185" t="s">
        <v>410</v>
      </c>
      <c r="L140" s="185"/>
      <c r="M140" s="185"/>
      <c r="N140" s="185"/>
      <c r="O140" s="185"/>
    </row>
    <row r="141" spans="1:15" ht="13" thickBot="1" x14ac:dyDescent="0.3"/>
    <row r="142" spans="1:15" ht="22.5" x14ac:dyDescent="0.45">
      <c r="A142" s="233" t="s">
        <v>553</v>
      </c>
      <c r="B142" s="234"/>
      <c r="C142" s="234"/>
      <c r="D142" s="234"/>
      <c r="E142" s="234"/>
      <c r="F142" s="234"/>
      <c r="G142" s="234"/>
      <c r="H142" s="234"/>
      <c r="I142" s="234"/>
      <c r="J142" s="234"/>
      <c r="K142" s="234"/>
      <c r="L142" s="234"/>
      <c r="M142" s="234"/>
      <c r="N142" s="234"/>
      <c r="O142" s="235"/>
    </row>
    <row r="143" spans="1:15" ht="13" thickBot="1" x14ac:dyDescent="0.3"/>
    <row r="144" spans="1:15" ht="16" thickBot="1" x14ac:dyDescent="0.3">
      <c r="A144" s="187" t="s">
        <v>549</v>
      </c>
      <c r="B144" s="188" t="s">
        <v>550</v>
      </c>
      <c r="C144" s="189" t="s">
        <v>551</v>
      </c>
      <c r="D144" s="190" t="s">
        <v>552</v>
      </c>
    </row>
    <row r="145" spans="1:4" ht="16" thickBot="1" x14ac:dyDescent="0.3">
      <c r="A145" s="191">
        <v>46023</v>
      </c>
      <c r="B145" s="199">
        <f>G3+G9</f>
        <v>534</v>
      </c>
      <c r="C145" s="192">
        <f>B195-B145</f>
        <v>4738</v>
      </c>
      <c r="D145" s="193">
        <f>B195-B195/49</f>
        <v>5164.408163265306</v>
      </c>
    </row>
    <row r="146" spans="1:4" ht="16" thickBot="1" x14ac:dyDescent="0.3">
      <c r="A146" s="191">
        <v>46054</v>
      </c>
      <c r="B146" s="200">
        <f>G15</f>
        <v>73</v>
      </c>
      <c r="C146" s="195">
        <f t="shared" ref="C146:C172" si="4">C145-B146</f>
        <v>4665</v>
      </c>
      <c r="D146" s="196">
        <f>D145-($B$195/49)</f>
        <v>5056.8163265306121</v>
      </c>
    </row>
    <row r="147" spans="1:4" ht="16" thickBot="1" x14ac:dyDescent="0.3">
      <c r="A147" s="191">
        <v>46082</v>
      </c>
      <c r="B147" s="200">
        <f>G20</f>
        <v>43</v>
      </c>
      <c r="C147" s="195">
        <f t="shared" si="4"/>
        <v>4622</v>
      </c>
      <c r="D147" s="196">
        <f t="shared" ref="D147:D194" si="5">D146-($B$195/49)</f>
        <v>4949.2244897959181</v>
      </c>
    </row>
    <row r="148" spans="1:4" ht="16" thickBot="1" x14ac:dyDescent="0.3">
      <c r="A148" s="191">
        <v>46113</v>
      </c>
      <c r="B148" s="200">
        <f>G24</f>
        <v>100</v>
      </c>
      <c r="C148" s="195">
        <f t="shared" si="4"/>
        <v>4522</v>
      </c>
      <c r="D148" s="196">
        <f t="shared" si="5"/>
        <v>4841.6326530612241</v>
      </c>
    </row>
    <row r="149" spans="1:4" ht="16" thickBot="1" x14ac:dyDescent="0.3">
      <c r="A149" s="191">
        <v>46143</v>
      </c>
      <c r="B149" s="200">
        <f>G26</f>
        <v>100</v>
      </c>
      <c r="C149" s="195">
        <f t="shared" si="4"/>
        <v>4422</v>
      </c>
      <c r="D149" s="196">
        <f t="shared" si="5"/>
        <v>4734.0408163265301</v>
      </c>
    </row>
    <row r="150" spans="1:4" ht="16" thickBot="1" x14ac:dyDescent="0.3">
      <c r="A150" s="191">
        <v>46174</v>
      </c>
      <c r="B150" s="200">
        <f>G28</f>
        <v>100</v>
      </c>
      <c r="C150" s="195">
        <f t="shared" si="4"/>
        <v>4322</v>
      </c>
      <c r="D150" s="196">
        <f t="shared" si="5"/>
        <v>4626.4489795918362</v>
      </c>
    </row>
    <row r="151" spans="1:4" ht="16" thickBot="1" x14ac:dyDescent="0.3">
      <c r="A151" s="191">
        <v>46204</v>
      </c>
      <c r="B151" s="200">
        <f>G30</f>
        <v>100</v>
      </c>
      <c r="C151" s="195">
        <f t="shared" si="4"/>
        <v>4222</v>
      </c>
      <c r="D151" s="196">
        <f t="shared" si="5"/>
        <v>4518.8571428571422</v>
      </c>
    </row>
    <row r="152" spans="1:4" ht="16" thickBot="1" x14ac:dyDescent="0.3">
      <c r="A152" s="191">
        <v>46235</v>
      </c>
      <c r="B152" s="200">
        <f>G32</f>
        <v>100</v>
      </c>
      <c r="C152" s="195">
        <f t="shared" si="4"/>
        <v>4122</v>
      </c>
      <c r="D152" s="196">
        <f t="shared" si="5"/>
        <v>4411.2653061224482</v>
      </c>
    </row>
    <row r="153" spans="1:4" ht="16" thickBot="1" x14ac:dyDescent="0.3">
      <c r="A153" s="191">
        <v>46266</v>
      </c>
      <c r="B153" s="200">
        <f>G34</f>
        <v>100</v>
      </c>
      <c r="C153" s="195">
        <f t="shared" si="4"/>
        <v>4022</v>
      </c>
      <c r="D153" s="196">
        <f t="shared" si="5"/>
        <v>4303.6734693877543</v>
      </c>
    </row>
    <row r="154" spans="1:4" ht="16" thickBot="1" x14ac:dyDescent="0.3">
      <c r="A154" s="191">
        <v>46296</v>
      </c>
      <c r="B154" s="200">
        <f>G36</f>
        <v>100</v>
      </c>
      <c r="C154" s="195">
        <f t="shared" si="4"/>
        <v>3922</v>
      </c>
      <c r="D154" s="196">
        <f t="shared" si="5"/>
        <v>4196.0816326530603</v>
      </c>
    </row>
    <row r="155" spans="1:4" ht="16" thickBot="1" x14ac:dyDescent="0.3">
      <c r="A155" s="191">
        <v>46327</v>
      </c>
      <c r="B155" s="200">
        <f>G38</f>
        <v>100</v>
      </c>
      <c r="C155" s="195">
        <f t="shared" si="4"/>
        <v>3822</v>
      </c>
      <c r="D155" s="196">
        <f t="shared" si="5"/>
        <v>4088.4897959183663</v>
      </c>
    </row>
    <row r="156" spans="1:4" ht="16" thickBot="1" x14ac:dyDescent="0.3">
      <c r="A156" s="191">
        <v>46357</v>
      </c>
      <c r="B156" s="200">
        <f>G40</f>
        <v>100</v>
      </c>
      <c r="C156" s="195">
        <f t="shared" si="4"/>
        <v>3722</v>
      </c>
      <c r="D156" s="196">
        <f t="shared" si="5"/>
        <v>3980.8979591836724</v>
      </c>
    </row>
    <row r="157" spans="1:4" ht="16" thickBot="1" x14ac:dyDescent="0.3">
      <c r="A157" s="191">
        <v>46388</v>
      </c>
      <c r="B157" s="200">
        <f>G42</f>
        <v>100</v>
      </c>
      <c r="C157" s="195">
        <f t="shared" si="4"/>
        <v>3622</v>
      </c>
      <c r="D157" s="196">
        <f t="shared" si="5"/>
        <v>3873.3061224489784</v>
      </c>
    </row>
    <row r="158" spans="1:4" ht="16" thickBot="1" x14ac:dyDescent="0.3">
      <c r="A158" s="191">
        <v>46419</v>
      </c>
      <c r="B158" s="200">
        <f>G44</f>
        <v>100</v>
      </c>
      <c r="C158" s="195">
        <f t="shared" si="4"/>
        <v>3522</v>
      </c>
      <c r="D158" s="196">
        <f t="shared" si="5"/>
        <v>3765.7142857142844</v>
      </c>
    </row>
    <row r="159" spans="1:4" ht="16" thickBot="1" x14ac:dyDescent="0.3">
      <c r="A159" s="191">
        <v>46447</v>
      </c>
      <c r="B159" s="194">
        <f>G46</f>
        <v>160</v>
      </c>
      <c r="C159" s="195">
        <f t="shared" si="4"/>
        <v>3362</v>
      </c>
      <c r="D159" s="196">
        <f t="shared" si="5"/>
        <v>3658.1224489795904</v>
      </c>
    </row>
    <row r="160" spans="1:4" ht="16" thickBot="1" x14ac:dyDescent="0.3">
      <c r="A160" s="191">
        <v>46478</v>
      </c>
      <c r="B160" s="200">
        <f>G50</f>
        <v>100</v>
      </c>
      <c r="C160" s="195">
        <f t="shared" si="4"/>
        <v>3262</v>
      </c>
      <c r="D160" s="196">
        <f t="shared" si="5"/>
        <v>3550.5306122448965</v>
      </c>
    </row>
    <row r="161" spans="1:4" ht="16" thickBot="1" x14ac:dyDescent="0.3">
      <c r="A161" s="191">
        <v>46508</v>
      </c>
      <c r="B161" s="200">
        <f>G52</f>
        <v>100</v>
      </c>
      <c r="C161" s="195">
        <f t="shared" si="4"/>
        <v>3162</v>
      </c>
      <c r="D161" s="196">
        <f t="shared" si="5"/>
        <v>3442.9387755102025</v>
      </c>
    </row>
    <row r="162" spans="1:4" ht="16" thickBot="1" x14ac:dyDescent="0.3">
      <c r="A162" s="191">
        <v>46539</v>
      </c>
      <c r="B162" s="200">
        <f>G54</f>
        <v>100</v>
      </c>
      <c r="C162" s="195">
        <f t="shared" si="4"/>
        <v>3062</v>
      </c>
      <c r="D162" s="196">
        <f t="shared" si="5"/>
        <v>3335.3469387755085</v>
      </c>
    </row>
    <row r="163" spans="1:4" ht="16" thickBot="1" x14ac:dyDescent="0.3">
      <c r="A163" s="191">
        <v>46569</v>
      </c>
      <c r="B163" s="200">
        <f>G56</f>
        <v>100</v>
      </c>
      <c r="C163" s="195">
        <f t="shared" si="4"/>
        <v>2962</v>
      </c>
      <c r="D163" s="196">
        <f t="shared" si="5"/>
        <v>3227.7551020408146</v>
      </c>
    </row>
    <row r="164" spans="1:4" ht="16" thickBot="1" x14ac:dyDescent="0.3">
      <c r="A164" s="191">
        <v>46600</v>
      </c>
      <c r="B164" s="201">
        <f>G58</f>
        <v>100</v>
      </c>
      <c r="C164" s="197">
        <f t="shared" si="4"/>
        <v>2862</v>
      </c>
      <c r="D164" s="196">
        <f t="shared" si="5"/>
        <v>3120.1632653061206</v>
      </c>
    </row>
    <row r="165" spans="1:4" ht="16" thickBot="1" x14ac:dyDescent="0.3">
      <c r="A165" s="191">
        <v>46631</v>
      </c>
      <c r="B165" s="201">
        <f>G60</f>
        <v>100</v>
      </c>
      <c r="C165" s="197">
        <f t="shared" si="4"/>
        <v>2762</v>
      </c>
      <c r="D165" s="196">
        <f t="shared" si="5"/>
        <v>3012.5714285714266</v>
      </c>
    </row>
    <row r="166" spans="1:4" ht="16" thickBot="1" x14ac:dyDescent="0.3">
      <c r="A166" s="191">
        <v>46661</v>
      </c>
      <c r="B166" s="201">
        <f>G62</f>
        <v>100</v>
      </c>
      <c r="C166" s="197">
        <f t="shared" si="4"/>
        <v>2662</v>
      </c>
      <c r="D166" s="196">
        <f t="shared" si="5"/>
        <v>2904.9795918367327</v>
      </c>
    </row>
    <row r="167" spans="1:4" ht="16" thickBot="1" x14ac:dyDescent="0.3">
      <c r="A167" s="191">
        <v>46692</v>
      </c>
      <c r="B167" s="201">
        <f>G64</f>
        <v>100</v>
      </c>
      <c r="C167" s="197">
        <f t="shared" si="4"/>
        <v>2562</v>
      </c>
      <c r="D167" s="196">
        <f t="shared" si="5"/>
        <v>2797.3877551020387</v>
      </c>
    </row>
    <row r="168" spans="1:4" ht="16" thickBot="1" x14ac:dyDescent="0.3">
      <c r="A168" s="191">
        <v>46722</v>
      </c>
      <c r="B168" s="201">
        <f>G66</f>
        <v>100</v>
      </c>
      <c r="C168" s="197">
        <f t="shared" si="4"/>
        <v>2462</v>
      </c>
      <c r="D168" s="196">
        <f t="shared" si="5"/>
        <v>2689.7959183673447</v>
      </c>
    </row>
    <row r="169" spans="1:4" ht="16" thickBot="1" x14ac:dyDescent="0.3">
      <c r="A169" s="191">
        <v>46753</v>
      </c>
      <c r="B169" s="201">
        <f>G68</f>
        <v>100</v>
      </c>
      <c r="C169" s="197">
        <f t="shared" si="4"/>
        <v>2362</v>
      </c>
      <c r="D169" s="196">
        <f t="shared" si="5"/>
        <v>2582.2040816326507</v>
      </c>
    </row>
    <row r="170" spans="1:4" ht="16" thickBot="1" x14ac:dyDescent="0.3">
      <c r="A170" s="191">
        <v>46784</v>
      </c>
      <c r="B170" s="201">
        <f>G70</f>
        <v>100</v>
      </c>
      <c r="C170" s="197">
        <f t="shared" si="4"/>
        <v>2262</v>
      </c>
      <c r="D170" s="196">
        <f t="shared" si="5"/>
        <v>2474.6122448979568</v>
      </c>
    </row>
    <row r="171" spans="1:4" ht="16" thickBot="1" x14ac:dyDescent="0.3">
      <c r="A171" s="191">
        <v>46813</v>
      </c>
      <c r="B171" s="201">
        <f>G72</f>
        <v>160</v>
      </c>
      <c r="C171" s="197">
        <f t="shared" si="4"/>
        <v>2102</v>
      </c>
      <c r="D171" s="196">
        <f t="shared" si="5"/>
        <v>2367.0204081632628</v>
      </c>
    </row>
    <row r="172" spans="1:4" ht="16" thickBot="1" x14ac:dyDescent="0.3">
      <c r="A172" s="191">
        <v>46844</v>
      </c>
      <c r="B172" s="201">
        <f>G76</f>
        <v>100</v>
      </c>
      <c r="C172" s="197">
        <f t="shared" si="4"/>
        <v>2002</v>
      </c>
      <c r="D172" s="196">
        <f t="shared" si="5"/>
        <v>2259.4285714285688</v>
      </c>
    </row>
    <row r="173" spans="1:4" ht="16" thickBot="1" x14ac:dyDescent="0.3">
      <c r="A173" s="191">
        <v>46874</v>
      </c>
      <c r="B173" s="201">
        <f>G52</f>
        <v>100</v>
      </c>
      <c r="C173" s="197">
        <f t="shared" ref="C173:C194" si="6">C172-B173</f>
        <v>1902</v>
      </c>
      <c r="D173" s="196">
        <f t="shared" si="5"/>
        <v>2151.8367346938749</v>
      </c>
    </row>
    <row r="174" spans="1:4" ht="16" thickBot="1" x14ac:dyDescent="0.3">
      <c r="A174" s="191">
        <v>46905</v>
      </c>
      <c r="B174" s="201">
        <f>G80</f>
        <v>100</v>
      </c>
      <c r="C174" s="197">
        <f t="shared" ref="C174:C189" si="7">C173-B174</f>
        <v>1802</v>
      </c>
      <c r="D174" s="196">
        <f t="shared" si="5"/>
        <v>2044.2448979591809</v>
      </c>
    </row>
    <row r="175" spans="1:4" ht="16" thickBot="1" x14ac:dyDescent="0.3">
      <c r="A175" s="191">
        <v>46935</v>
      </c>
      <c r="B175" s="201">
        <f>G82</f>
        <v>100</v>
      </c>
      <c r="C175" s="197">
        <f t="shared" si="7"/>
        <v>1702</v>
      </c>
      <c r="D175" s="196">
        <f t="shared" si="5"/>
        <v>1936.6530612244869</v>
      </c>
    </row>
    <row r="176" spans="1:4" ht="16" thickBot="1" x14ac:dyDescent="0.3">
      <c r="A176" s="191">
        <v>46966</v>
      </c>
      <c r="B176" s="201">
        <f>G84</f>
        <v>100</v>
      </c>
      <c r="C176" s="197">
        <f t="shared" si="7"/>
        <v>1602</v>
      </c>
      <c r="D176" s="196">
        <f t="shared" si="5"/>
        <v>1829.0612244897929</v>
      </c>
    </row>
    <row r="177" spans="1:4" ht="16" thickBot="1" x14ac:dyDescent="0.3">
      <c r="A177" s="191">
        <v>46997</v>
      </c>
      <c r="B177" s="201">
        <f>G86</f>
        <v>100</v>
      </c>
      <c r="C177" s="197">
        <f t="shared" si="7"/>
        <v>1502</v>
      </c>
      <c r="D177" s="196">
        <f t="shared" si="5"/>
        <v>1721.469387755099</v>
      </c>
    </row>
    <row r="178" spans="1:4" ht="16" thickBot="1" x14ac:dyDescent="0.3">
      <c r="A178" s="191">
        <v>47027</v>
      </c>
      <c r="B178" s="201">
        <f>G88</f>
        <v>100</v>
      </c>
      <c r="C178" s="197">
        <f t="shared" si="7"/>
        <v>1402</v>
      </c>
      <c r="D178" s="196">
        <f t="shared" si="5"/>
        <v>1613.877551020405</v>
      </c>
    </row>
    <row r="179" spans="1:4" ht="16" thickBot="1" x14ac:dyDescent="0.3">
      <c r="A179" s="191">
        <v>47058</v>
      </c>
      <c r="B179" s="201">
        <f>G90</f>
        <v>100</v>
      </c>
      <c r="C179" s="197">
        <f t="shared" si="7"/>
        <v>1302</v>
      </c>
      <c r="D179" s="196">
        <f t="shared" si="5"/>
        <v>1506.285714285711</v>
      </c>
    </row>
    <row r="180" spans="1:4" ht="16" thickBot="1" x14ac:dyDescent="0.3">
      <c r="A180" s="191">
        <v>47088</v>
      </c>
      <c r="B180" s="201">
        <f>G92</f>
        <v>100</v>
      </c>
      <c r="C180" s="197">
        <f t="shared" si="7"/>
        <v>1202</v>
      </c>
      <c r="D180" s="196">
        <f t="shared" si="5"/>
        <v>1398.6938775510171</v>
      </c>
    </row>
    <row r="181" spans="1:4" ht="16" thickBot="1" x14ac:dyDescent="0.3">
      <c r="A181" s="191">
        <v>47119</v>
      </c>
      <c r="B181" s="201">
        <f>G94</f>
        <v>100</v>
      </c>
      <c r="C181" s="197">
        <f t="shared" si="7"/>
        <v>1102</v>
      </c>
      <c r="D181" s="196">
        <f t="shared" si="5"/>
        <v>1291.1020408163231</v>
      </c>
    </row>
    <row r="182" spans="1:4" ht="16" thickBot="1" x14ac:dyDescent="0.3">
      <c r="A182" s="191">
        <v>47150</v>
      </c>
      <c r="B182" s="201">
        <f>G96</f>
        <v>100</v>
      </c>
      <c r="C182" s="197">
        <f t="shared" si="7"/>
        <v>1002</v>
      </c>
      <c r="D182" s="196">
        <f t="shared" si="5"/>
        <v>1183.5102040816291</v>
      </c>
    </row>
    <row r="183" spans="1:4" ht="16" thickBot="1" x14ac:dyDescent="0.3">
      <c r="A183" s="191">
        <v>47178</v>
      </c>
      <c r="B183" s="201">
        <f>G98</f>
        <v>160</v>
      </c>
      <c r="C183" s="197">
        <f t="shared" si="7"/>
        <v>842</v>
      </c>
      <c r="D183" s="196">
        <f t="shared" si="5"/>
        <v>1075.9183673469352</v>
      </c>
    </row>
    <row r="184" spans="1:4" ht="16" thickBot="1" x14ac:dyDescent="0.3">
      <c r="A184" s="191">
        <v>47209</v>
      </c>
      <c r="B184" s="201">
        <f>G102</f>
        <v>63</v>
      </c>
      <c r="C184" s="197">
        <f t="shared" si="7"/>
        <v>779</v>
      </c>
      <c r="D184" s="196">
        <f t="shared" si="5"/>
        <v>968.3265306122413</v>
      </c>
    </row>
    <row r="185" spans="1:4" ht="16" thickBot="1" x14ac:dyDescent="0.3">
      <c r="A185" s="191">
        <v>47239</v>
      </c>
      <c r="B185" s="201">
        <f>G106</f>
        <v>63</v>
      </c>
      <c r="C185" s="197">
        <f t="shared" si="7"/>
        <v>716</v>
      </c>
      <c r="D185" s="196">
        <f t="shared" si="5"/>
        <v>860.73469387754744</v>
      </c>
    </row>
    <row r="186" spans="1:4" ht="16" thickBot="1" x14ac:dyDescent="0.3">
      <c r="A186" s="191">
        <v>47270</v>
      </c>
      <c r="B186" s="201">
        <f>G110</f>
        <v>75</v>
      </c>
      <c r="C186" s="197">
        <f t="shared" si="7"/>
        <v>641</v>
      </c>
      <c r="D186" s="196">
        <f t="shared" si="5"/>
        <v>753.14285714285359</v>
      </c>
    </row>
    <row r="187" spans="1:4" ht="16" thickBot="1" x14ac:dyDescent="0.3">
      <c r="A187" s="191">
        <v>47300</v>
      </c>
      <c r="B187" s="201">
        <f>G112</f>
        <v>75</v>
      </c>
      <c r="C187" s="197">
        <f t="shared" si="7"/>
        <v>566</v>
      </c>
      <c r="D187" s="196">
        <f t="shared" si="5"/>
        <v>645.55102040815973</v>
      </c>
    </row>
    <row r="188" spans="1:4" ht="16" thickBot="1" x14ac:dyDescent="0.3">
      <c r="A188" s="191">
        <v>47331</v>
      </c>
      <c r="B188" s="201">
        <f>G114</f>
        <v>75</v>
      </c>
      <c r="C188" s="197">
        <f t="shared" si="7"/>
        <v>491</v>
      </c>
      <c r="D188" s="196">
        <f t="shared" si="5"/>
        <v>537.95918367346587</v>
      </c>
    </row>
    <row r="189" spans="1:4" ht="16" thickBot="1" x14ac:dyDescent="0.3">
      <c r="A189" s="191">
        <v>47362</v>
      </c>
      <c r="B189" s="201">
        <f>G116</f>
        <v>75</v>
      </c>
      <c r="C189" s="197">
        <f t="shared" si="7"/>
        <v>416</v>
      </c>
      <c r="D189" s="196">
        <f t="shared" si="5"/>
        <v>430.36734693877202</v>
      </c>
    </row>
    <row r="190" spans="1:4" ht="16" thickBot="1" x14ac:dyDescent="0.3">
      <c r="A190" s="191">
        <v>47392</v>
      </c>
      <c r="B190" s="201">
        <f>G118</f>
        <v>75</v>
      </c>
      <c r="C190" s="197">
        <f t="shared" si="6"/>
        <v>341</v>
      </c>
      <c r="D190" s="196">
        <f t="shared" si="5"/>
        <v>322.77551020407816</v>
      </c>
    </row>
    <row r="191" spans="1:4" ht="16" thickBot="1" x14ac:dyDescent="0.3">
      <c r="A191" s="191">
        <v>47423</v>
      </c>
      <c r="B191" s="201">
        <f>G120</f>
        <v>75</v>
      </c>
      <c r="C191" s="197">
        <f t="shared" si="6"/>
        <v>266</v>
      </c>
      <c r="D191" s="196">
        <f t="shared" si="5"/>
        <v>215.1836734693843</v>
      </c>
    </row>
    <row r="192" spans="1:4" ht="16" thickBot="1" x14ac:dyDescent="0.3">
      <c r="A192" s="191">
        <v>47453</v>
      </c>
      <c r="B192" s="201">
        <f>G122</f>
        <v>75</v>
      </c>
      <c r="C192" s="197">
        <f t="shared" si="6"/>
        <v>191</v>
      </c>
      <c r="D192" s="196">
        <f t="shared" si="5"/>
        <v>107.59183673469043</v>
      </c>
    </row>
    <row r="193" spans="1:4" ht="16" thickBot="1" x14ac:dyDescent="0.3">
      <c r="A193" s="191">
        <v>47484</v>
      </c>
      <c r="B193" s="201">
        <f>G124</f>
        <v>128</v>
      </c>
      <c r="C193" s="197">
        <f t="shared" si="6"/>
        <v>63</v>
      </c>
      <c r="D193" s="196">
        <f t="shared" si="5"/>
        <v>-3.4390268410788849E-12</v>
      </c>
    </row>
    <row r="194" spans="1:4" ht="16" thickBot="1" x14ac:dyDescent="0.3">
      <c r="A194" s="191">
        <v>47515</v>
      </c>
      <c r="B194" s="201">
        <f>G128</f>
        <v>63</v>
      </c>
      <c r="C194" s="197">
        <f t="shared" si="6"/>
        <v>0</v>
      </c>
      <c r="D194" s="196">
        <f t="shared" si="5"/>
        <v>-107.59183673469731</v>
      </c>
    </row>
    <row r="195" spans="1:4" ht="15.5" x14ac:dyDescent="0.25">
      <c r="A195" s="198" t="s">
        <v>93</v>
      </c>
      <c r="B195" s="198">
        <f>SUM(B145:B194)</f>
        <v>5272</v>
      </c>
    </row>
  </sheetData>
  <mergeCells count="2">
    <mergeCell ref="A1:O1"/>
    <mergeCell ref="A142:O142"/>
  </mergeCells>
  <dataValidations disablePrompts="1" count="3">
    <dataValidation type="list" allowBlank="1" showInputMessage="1" showErrorMessage="1" sqref="B139:B140 B133:B135 B129:B130 B99:B100 B107:B108 B103:B104 B73:B74 B47:B48 B16:B18 B21:B22 B10:B13 B4:B7 B25 B27 B29 B31 B33 B35 B37 B39 B41 B43 B45 B51 B53 B55 B57 B59 B61 B63 B65 B67 B69 B71 B77 B79 B81 B83 B85 B87 B89 B91 B93 B95 B97 B111 B113 B115 B117 B119 B121 B123 B125:B126" xr:uid="{B5F4B818-1B6A-4E83-A906-AE6476B92691}">
      <formula1>"TRES HAUTE,HAUTE,MOYENNE,BASSE,TRES BASSE"</formula1>
    </dataValidation>
    <dataValidation type="list" allowBlank="1" showInputMessage="1" sqref="B3" xr:uid="{49BD463C-580F-4680-82B1-83496AED290A}">
      <formula1>"Objectif,Jalon,En bonne voie, Risque faible, Risque moyen, Risque élevé"</formula1>
    </dataValidation>
    <dataValidation type="list" allowBlank="1" showInputMessage="1" showErrorMessage="1" sqref="B136:B138 B131:B132 B109:B110 B105:B106 B101:B102 B98 B72 B46 B19:B20 B8:B9 B14:B15 B23:B24 B26 B28 B30 B32 B34 B36 B38 B40 B42 B44 B49:B50 B52 B54 B56 B58 B60 B62 B64 B66 B68 B70 B75:B76 B78 B80 B82 B84 B86 B88 B90 B92 B94 B96 B127:B128 B112 B114 B116 B118 B120 B122 B124" xr:uid="{EBC0D319-0A47-42D0-96C3-68488AE37E14}">
      <formula1>"Objectif,Jalon,En bonne voie, Risque faible, Risque moyen, Risque élevé"</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41C4F-26C1-41B4-840F-B88F869F19AD}">
  <sheetPr codeName="Feuil5"/>
  <dimension ref="A1:I15"/>
  <sheetViews>
    <sheetView workbookViewId="0">
      <selection activeCell="E12" sqref="E12:G12"/>
    </sheetView>
  </sheetViews>
  <sheetFormatPr baseColWidth="10" defaultRowHeight="12.5" x14ac:dyDescent="0.25"/>
  <cols>
    <col min="1" max="1" width="20.1796875" customWidth="1"/>
    <col min="2" max="8" width="18.54296875" customWidth="1"/>
    <col min="9" max="9" width="30.1796875" customWidth="1"/>
  </cols>
  <sheetData>
    <row r="1" spans="1:9" ht="43.5" x14ac:dyDescent="0.25">
      <c r="A1" s="94" t="s">
        <v>200</v>
      </c>
      <c r="B1" s="95" t="s">
        <v>202</v>
      </c>
      <c r="C1" s="105" t="s">
        <v>228</v>
      </c>
      <c r="D1" s="97" t="s">
        <v>203</v>
      </c>
      <c r="E1" s="105" t="s">
        <v>229</v>
      </c>
      <c r="F1" s="97" t="s">
        <v>204</v>
      </c>
      <c r="G1" s="96" t="s">
        <v>226</v>
      </c>
      <c r="H1" s="97" t="s">
        <v>205</v>
      </c>
      <c r="I1" s="106" t="s">
        <v>230</v>
      </c>
    </row>
    <row r="2" spans="1:9" ht="65" x14ac:dyDescent="0.25">
      <c r="A2" s="98" t="s">
        <v>201</v>
      </c>
      <c r="B2" s="95" t="s">
        <v>206</v>
      </c>
      <c r="C2" s="11">
        <v>37000</v>
      </c>
      <c r="D2" s="97" t="s">
        <v>207</v>
      </c>
      <c r="E2" s="11" t="s">
        <v>225</v>
      </c>
      <c r="F2" s="97" t="s">
        <v>208</v>
      </c>
      <c r="G2" s="105" t="s">
        <v>227</v>
      </c>
      <c r="H2" s="99"/>
      <c r="I2" s="96"/>
    </row>
    <row r="3" spans="1:9" ht="29" x14ac:dyDescent="0.25">
      <c r="A3" s="94" t="s">
        <v>209</v>
      </c>
      <c r="B3" s="95" t="s">
        <v>202</v>
      </c>
      <c r="C3" s="105" t="s">
        <v>223</v>
      </c>
      <c r="D3" s="97" t="s">
        <v>203</v>
      </c>
      <c r="E3" s="105" t="s">
        <v>222</v>
      </c>
      <c r="F3" s="97" t="s">
        <v>204</v>
      </c>
      <c r="G3" s="96" t="s">
        <v>226</v>
      </c>
      <c r="H3" s="97" t="s">
        <v>205</v>
      </c>
      <c r="I3" s="104" t="s">
        <v>224</v>
      </c>
    </row>
    <row r="4" spans="1:9" ht="65" x14ac:dyDescent="0.25">
      <c r="A4" s="98" t="s">
        <v>201</v>
      </c>
      <c r="B4" s="95" t="s">
        <v>206</v>
      </c>
      <c r="C4" s="105">
        <v>37000</v>
      </c>
      <c r="D4" s="97" t="s">
        <v>207</v>
      </c>
      <c r="E4" s="105" t="s">
        <v>225</v>
      </c>
      <c r="F4" s="97" t="s">
        <v>208</v>
      </c>
      <c r="G4" s="105" t="s">
        <v>227</v>
      </c>
      <c r="H4" s="99"/>
      <c r="I4" s="96"/>
    </row>
    <row r="5" spans="1:9" ht="72.650000000000006" customHeight="1" x14ac:dyDescent="0.25">
      <c r="A5" s="236" t="s">
        <v>210</v>
      </c>
      <c r="B5" s="95" t="s">
        <v>202</v>
      </c>
      <c r="C5" s="105" t="s">
        <v>232</v>
      </c>
      <c r="D5" s="97" t="s">
        <v>203</v>
      </c>
      <c r="E5" s="105" t="s">
        <v>231</v>
      </c>
      <c r="F5" s="95" t="s">
        <v>211</v>
      </c>
      <c r="G5" s="96"/>
      <c r="H5" s="97" t="s">
        <v>204</v>
      </c>
      <c r="I5" s="96" t="s">
        <v>226</v>
      </c>
    </row>
    <row r="6" spans="1:9" ht="14.5" x14ac:dyDescent="0.25">
      <c r="A6" s="236"/>
      <c r="B6" s="95" t="s">
        <v>206</v>
      </c>
      <c r="C6" s="105">
        <v>37000</v>
      </c>
      <c r="D6" s="97" t="s">
        <v>207</v>
      </c>
      <c r="E6" s="105" t="s">
        <v>225</v>
      </c>
      <c r="F6" s="97" t="s">
        <v>208</v>
      </c>
      <c r="G6" s="105" t="s">
        <v>227</v>
      </c>
      <c r="H6" s="97" t="s">
        <v>205</v>
      </c>
      <c r="I6" s="104" t="s">
        <v>233</v>
      </c>
    </row>
    <row r="7" spans="1:9" ht="14.5" customHeight="1" x14ac:dyDescent="0.25">
      <c r="A7" s="237" t="s">
        <v>212</v>
      </c>
      <c r="B7" s="237"/>
      <c r="C7" s="237"/>
      <c r="D7" s="237"/>
      <c r="E7" s="237" t="s">
        <v>213</v>
      </c>
      <c r="F7" s="237"/>
      <c r="G7" s="237"/>
      <c r="H7" s="237" t="s">
        <v>214</v>
      </c>
      <c r="I7" s="237"/>
    </row>
    <row r="8" spans="1:9" ht="29" x14ac:dyDescent="0.35">
      <c r="A8" s="100" t="s">
        <v>215</v>
      </c>
      <c r="B8" s="100" t="s">
        <v>216</v>
      </c>
      <c r="C8" s="100" t="s">
        <v>217</v>
      </c>
      <c r="D8" s="100" t="s">
        <v>218</v>
      </c>
      <c r="E8" s="238"/>
      <c r="F8" s="238"/>
      <c r="G8" s="238"/>
      <c r="H8" s="239" t="s">
        <v>219</v>
      </c>
      <c r="I8" s="239"/>
    </row>
    <row r="9" spans="1:9" ht="72.650000000000006" customHeight="1" x14ac:dyDescent="0.25">
      <c r="A9" s="103" t="s">
        <v>220</v>
      </c>
      <c r="B9" s="101" t="s">
        <v>322</v>
      </c>
      <c r="C9" s="102">
        <v>43246</v>
      </c>
      <c r="D9" s="102">
        <v>43598</v>
      </c>
      <c r="E9" s="240" t="s">
        <v>221</v>
      </c>
      <c r="F9" s="240"/>
      <c r="G9" s="240"/>
      <c r="H9" s="241" t="s">
        <v>239</v>
      </c>
      <c r="I9" s="241"/>
    </row>
    <row r="10" spans="1:9" ht="29" x14ac:dyDescent="0.25">
      <c r="A10" s="103" t="s">
        <v>320</v>
      </c>
      <c r="B10" s="101" t="s">
        <v>323</v>
      </c>
      <c r="C10" s="102"/>
      <c r="D10" s="102"/>
      <c r="E10" s="240" t="s">
        <v>234</v>
      </c>
      <c r="F10" s="240"/>
      <c r="G10" s="240"/>
      <c r="H10" s="241" t="s">
        <v>239</v>
      </c>
      <c r="I10" s="241"/>
    </row>
    <row r="11" spans="1:9" ht="14.5" x14ac:dyDescent="0.25">
      <c r="A11" s="103" t="s">
        <v>321</v>
      </c>
      <c r="B11" s="101" t="s">
        <v>324</v>
      </c>
      <c r="C11" s="102"/>
      <c r="D11" s="102"/>
      <c r="E11" s="240" t="s">
        <v>241</v>
      </c>
      <c r="F11" s="240"/>
      <c r="G11" s="240"/>
      <c r="H11" s="241" t="s">
        <v>239</v>
      </c>
      <c r="I11" s="241"/>
    </row>
    <row r="12" spans="1:9" ht="14.5" x14ac:dyDescent="0.25">
      <c r="A12" s="103" t="s">
        <v>321</v>
      </c>
      <c r="B12" s="101" t="s">
        <v>324</v>
      </c>
      <c r="C12" s="102"/>
      <c r="D12" s="102"/>
      <c r="E12" s="240" t="s">
        <v>235</v>
      </c>
      <c r="F12" s="240"/>
      <c r="G12" s="240"/>
      <c r="H12" s="241" t="s">
        <v>239</v>
      </c>
      <c r="I12" s="241"/>
    </row>
    <row r="13" spans="1:9" ht="29" x14ac:dyDescent="0.25">
      <c r="A13" s="103" t="s">
        <v>220</v>
      </c>
      <c r="B13" s="101" t="s">
        <v>398</v>
      </c>
      <c r="C13" s="102"/>
      <c r="D13" s="102"/>
      <c r="E13" s="240" t="s">
        <v>236</v>
      </c>
      <c r="F13" s="240"/>
      <c r="G13" s="240"/>
      <c r="H13" s="241" t="s">
        <v>240</v>
      </c>
      <c r="I13" s="241"/>
    </row>
    <row r="14" spans="1:9" ht="29" x14ac:dyDescent="0.25">
      <c r="A14" s="103" t="s">
        <v>320</v>
      </c>
      <c r="B14" s="101" t="s">
        <v>399</v>
      </c>
      <c r="C14" s="102"/>
      <c r="D14" s="102"/>
      <c r="E14" s="240" t="s">
        <v>237</v>
      </c>
      <c r="F14" s="240"/>
      <c r="G14" s="240"/>
      <c r="H14" s="241" t="s">
        <v>240</v>
      </c>
      <c r="I14" s="241"/>
    </row>
    <row r="15" spans="1:9" ht="29" x14ac:dyDescent="0.25">
      <c r="A15" s="103" t="s">
        <v>320</v>
      </c>
      <c r="B15" s="101" t="s">
        <v>399</v>
      </c>
      <c r="C15" s="102"/>
      <c r="D15" s="102"/>
      <c r="E15" s="240" t="s">
        <v>238</v>
      </c>
      <c r="F15" s="240"/>
      <c r="G15" s="240"/>
      <c r="H15" s="241" t="s">
        <v>240</v>
      </c>
      <c r="I15" s="241"/>
    </row>
  </sheetData>
  <mergeCells count="20">
    <mergeCell ref="E15:G15"/>
    <mergeCell ref="H15:I15"/>
    <mergeCell ref="E12:G12"/>
    <mergeCell ref="H12:I12"/>
    <mergeCell ref="E13:G13"/>
    <mergeCell ref="H13:I13"/>
    <mergeCell ref="E14:G14"/>
    <mergeCell ref="H14:I14"/>
    <mergeCell ref="E9:G9"/>
    <mergeCell ref="H9:I9"/>
    <mergeCell ref="E10:G10"/>
    <mergeCell ref="H10:I10"/>
    <mergeCell ref="E11:G11"/>
    <mergeCell ref="H11:I11"/>
    <mergeCell ref="A5:A6"/>
    <mergeCell ref="A7:D7"/>
    <mergeCell ref="E7:G7"/>
    <mergeCell ref="H7:I7"/>
    <mergeCell ref="E8:G8"/>
    <mergeCell ref="H8:I8"/>
  </mergeCells>
  <hyperlinks>
    <hyperlink ref="I3" r:id="rId1" xr:uid="{B8358781-E315-4D64-9984-6FFBBD6A3B5A}"/>
    <hyperlink ref="I1" r:id="rId2" xr:uid="{E67457C9-38C5-4CB0-8A79-CE22B0E59041}"/>
    <hyperlink ref="I6" r:id="rId3" xr:uid="{F30D014C-FD26-4FF0-9D98-4AE60797DD7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434DD-CEB3-4BE8-A637-3B9211F8FB3B}">
  <sheetPr codeName="Feuil6"/>
  <dimension ref="A1:Q123"/>
  <sheetViews>
    <sheetView topLeftCell="A104" workbookViewId="0">
      <selection activeCell="J67" sqref="J67"/>
    </sheetView>
  </sheetViews>
  <sheetFormatPr baseColWidth="10" defaultRowHeight="12.5" x14ac:dyDescent="0.25"/>
  <cols>
    <col min="1" max="8" width="20.1796875" customWidth="1"/>
    <col min="10" max="17" width="23.1796875" customWidth="1"/>
  </cols>
  <sheetData>
    <row r="1" spans="1:17" ht="29.15" customHeight="1" x14ac:dyDescent="0.25">
      <c r="A1" s="107" t="s">
        <v>242</v>
      </c>
      <c r="B1" s="126"/>
      <c r="C1" s="126"/>
      <c r="D1" s="126"/>
      <c r="E1" s="126"/>
      <c r="F1" s="126"/>
      <c r="G1" s="126"/>
      <c r="H1" s="126"/>
      <c r="J1" s="107" t="s">
        <v>242</v>
      </c>
      <c r="K1" s="126"/>
      <c r="L1" s="126"/>
      <c r="M1" s="126"/>
      <c r="N1" s="126"/>
      <c r="O1" s="126"/>
      <c r="P1" s="126"/>
      <c r="Q1" s="126"/>
    </row>
    <row r="2" spans="1:17" ht="29" x14ac:dyDescent="0.25">
      <c r="A2" s="108" t="s">
        <v>215</v>
      </c>
      <c r="B2" s="263" t="s">
        <v>220</v>
      </c>
      <c r="C2" s="263"/>
      <c r="D2" s="263"/>
      <c r="E2" s="263"/>
      <c r="F2" s="263"/>
      <c r="G2" s="263"/>
      <c r="H2" s="263"/>
      <c r="J2" s="108" t="s">
        <v>215</v>
      </c>
      <c r="K2" s="263" t="s">
        <v>320</v>
      </c>
      <c r="L2" s="263"/>
      <c r="M2" s="263"/>
      <c r="N2" s="263"/>
      <c r="O2" s="263"/>
      <c r="P2" s="263"/>
      <c r="Q2" s="263"/>
    </row>
    <row r="3" spans="1:17" ht="14.5" x14ac:dyDescent="0.25">
      <c r="A3" s="109" t="s">
        <v>216</v>
      </c>
      <c r="B3" s="266" t="s">
        <v>322</v>
      </c>
      <c r="C3" s="266"/>
      <c r="D3" s="266"/>
      <c r="E3" s="266"/>
      <c r="F3" s="266"/>
      <c r="G3" s="266"/>
      <c r="H3" s="266"/>
      <c r="J3" s="109" t="s">
        <v>216</v>
      </c>
      <c r="K3" s="266" t="s">
        <v>386</v>
      </c>
      <c r="L3" s="266"/>
      <c r="M3" s="266"/>
      <c r="N3" s="266"/>
      <c r="O3" s="266"/>
      <c r="P3" s="266"/>
      <c r="Q3" s="266"/>
    </row>
    <row r="4" spans="1:17" ht="29" x14ac:dyDescent="0.25">
      <c r="A4" s="108" t="s">
        <v>243</v>
      </c>
      <c r="B4" s="263"/>
      <c r="C4" s="263"/>
      <c r="D4" s="263"/>
      <c r="E4" s="263"/>
      <c r="F4" s="263"/>
      <c r="G4" s="263"/>
      <c r="H4" s="263"/>
      <c r="J4" s="108" t="s">
        <v>243</v>
      </c>
      <c r="K4" s="263"/>
      <c r="L4" s="263"/>
      <c r="M4" s="263"/>
      <c r="N4" s="263"/>
      <c r="O4" s="263"/>
      <c r="P4" s="263"/>
      <c r="Q4" s="263"/>
    </row>
    <row r="5" spans="1:17" ht="29" x14ac:dyDescent="0.25">
      <c r="A5" s="110" t="s">
        <v>244</v>
      </c>
      <c r="B5" s="251"/>
      <c r="C5" s="251"/>
      <c r="D5" s="251"/>
      <c r="E5" s="251"/>
      <c r="F5" s="251"/>
      <c r="G5" s="251"/>
      <c r="H5" s="251"/>
      <c r="J5" s="110" t="s">
        <v>244</v>
      </c>
      <c r="K5" s="251"/>
      <c r="L5" s="251"/>
      <c r="M5" s="251"/>
      <c r="N5" s="251"/>
      <c r="O5" s="251"/>
      <c r="P5" s="251"/>
      <c r="Q5" s="251"/>
    </row>
    <row r="6" spans="1:17" ht="14.5" x14ac:dyDescent="0.25">
      <c r="A6" s="111"/>
      <c r="B6" s="112"/>
      <c r="C6" s="112"/>
      <c r="D6" s="112"/>
      <c r="E6" s="112"/>
      <c r="F6" s="112"/>
      <c r="G6" s="112"/>
      <c r="H6" s="112"/>
      <c r="J6" s="111"/>
      <c r="K6" s="112"/>
      <c r="L6" s="112"/>
      <c r="M6" s="112"/>
      <c r="N6" s="112"/>
      <c r="O6" s="112"/>
      <c r="P6" s="112"/>
      <c r="Q6" s="112"/>
    </row>
    <row r="7" spans="1:17" ht="14.5" x14ac:dyDescent="0.25">
      <c r="A7" s="107" t="s">
        <v>245</v>
      </c>
      <c r="B7" s="113" t="s">
        <v>246</v>
      </c>
      <c r="C7" s="113" t="s">
        <v>247</v>
      </c>
      <c r="D7" s="113" t="s">
        <v>248</v>
      </c>
      <c r="E7" s="113" t="s">
        <v>249</v>
      </c>
      <c r="F7" s="113" t="s">
        <v>250</v>
      </c>
      <c r="G7" s="113" t="s">
        <v>251</v>
      </c>
      <c r="H7" s="113" t="s">
        <v>252</v>
      </c>
      <c r="J7" s="107" t="s">
        <v>245</v>
      </c>
      <c r="K7" s="113" t="s">
        <v>246</v>
      </c>
      <c r="L7" s="113" t="s">
        <v>247</v>
      </c>
      <c r="M7" s="113" t="s">
        <v>248</v>
      </c>
      <c r="N7" s="113" t="s">
        <v>249</v>
      </c>
      <c r="O7" s="113" t="s">
        <v>250</v>
      </c>
      <c r="P7" s="113" t="s">
        <v>251</v>
      </c>
      <c r="Q7" s="113" t="s">
        <v>252</v>
      </c>
    </row>
    <row r="8" spans="1:17" ht="29" x14ac:dyDescent="0.25">
      <c r="A8" s="110" t="s">
        <v>253</v>
      </c>
      <c r="B8" s="127" t="s">
        <v>306</v>
      </c>
      <c r="C8" s="128" t="s">
        <v>307</v>
      </c>
      <c r="D8" s="128" t="s">
        <v>308</v>
      </c>
      <c r="E8" s="128" t="s">
        <v>225</v>
      </c>
      <c r="F8" s="128" t="s">
        <v>312</v>
      </c>
      <c r="G8" s="128" t="s">
        <v>309</v>
      </c>
      <c r="H8" s="147" t="s">
        <v>310</v>
      </c>
      <c r="J8" s="110" t="s">
        <v>253</v>
      </c>
      <c r="K8" s="127" t="s">
        <v>306</v>
      </c>
      <c r="L8" s="128" t="s">
        <v>307</v>
      </c>
      <c r="M8" s="128" t="s">
        <v>308</v>
      </c>
      <c r="N8" s="128" t="s">
        <v>225</v>
      </c>
      <c r="O8" s="128" t="s">
        <v>312</v>
      </c>
      <c r="P8" s="128" t="s">
        <v>309</v>
      </c>
      <c r="Q8" s="147" t="s">
        <v>310</v>
      </c>
    </row>
    <row r="9" spans="1:17" ht="43.5" x14ac:dyDescent="0.25">
      <c r="A9" s="109" t="s">
        <v>254</v>
      </c>
      <c r="B9" s="129" t="s">
        <v>311</v>
      </c>
      <c r="C9" s="130" t="s">
        <v>307</v>
      </c>
      <c r="D9" s="130" t="s">
        <v>308</v>
      </c>
      <c r="E9" s="130" t="s">
        <v>225</v>
      </c>
      <c r="F9" s="130" t="s">
        <v>312</v>
      </c>
      <c r="G9" s="130" t="s">
        <v>309</v>
      </c>
      <c r="H9" s="148" t="s">
        <v>233</v>
      </c>
      <c r="J9" s="109" t="s">
        <v>254</v>
      </c>
      <c r="K9" s="129" t="s">
        <v>311</v>
      </c>
      <c r="L9" s="130" t="s">
        <v>307</v>
      </c>
      <c r="M9" s="130" t="s">
        <v>308</v>
      </c>
      <c r="N9" s="130" t="s">
        <v>225</v>
      </c>
      <c r="O9" s="130" t="s">
        <v>312</v>
      </c>
      <c r="P9" s="130" t="s">
        <v>309</v>
      </c>
      <c r="Q9" s="148" t="s">
        <v>233</v>
      </c>
    </row>
    <row r="10" spans="1:17" ht="43.5" x14ac:dyDescent="0.25">
      <c r="A10" s="114" t="s">
        <v>255</v>
      </c>
      <c r="B10" s="131" t="s">
        <v>314</v>
      </c>
      <c r="C10" s="132"/>
      <c r="D10" s="127"/>
      <c r="E10" s="132"/>
      <c r="F10" s="132"/>
      <c r="G10" s="132"/>
      <c r="H10" s="133"/>
      <c r="J10" s="114" t="s">
        <v>255</v>
      </c>
      <c r="K10" s="131" t="s">
        <v>314</v>
      </c>
      <c r="L10" s="132"/>
      <c r="M10" s="127"/>
      <c r="N10" s="132"/>
      <c r="O10" s="132"/>
      <c r="P10" s="132"/>
      <c r="Q10" s="133"/>
    </row>
    <row r="11" spans="1:17" ht="14.5" x14ac:dyDescent="0.25">
      <c r="A11" s="108" t="s">
        <v>256</v>
      </c>
      <c r="B11" s="134" t="s">
        <v>313</v>
      </c>
      <c r="C11" s="130" t="s">
        <v>307</v>
      </c>
      <c r="D11" s="135" t="s">
        <v>308</v>
      </c>
      <c r="E11" s="130" t="s">
        <v>225</v>
      </c>
      <c r="F11" s="130" t="s">
        <v>312</v>
      </c>
      <c r="G11" s="130" t="s">
        <v>309</v>
      </c>
      <c r="H11" s="149" t="s">
        <v>224</v>
      </c>
      <c r="J11" s="108" t="s">
        <v>256</v>
      </c>
      <c r="K11" s="134" t="s">
        <v>313</v>
      </c>
      <c r="L11" s="130" t="s">
        <v>307</v>
      </c>
      <c r="M11" s="135" t="s">
        <v>308</v>
      </c>
      <c r="N11" s="130" t="s">
        <v>225</v>
      </c>
      <c r="O11" s="130" t="s">
        <v>312</v>
      </c>
      <c r="P11" s="130" t="s">
        <v>309</v>
      </c>
      <c r="Q11" s="149" t="s">
        <v>224</v>
      </c>
    </row>
    <row r="12" spans="1:17" ht="29" x14ac:dyDescent="0.25">
      <c r="A12" s="110" t="s">
        <v>257</v>
      </c>
      <c r="B12" s="131"/>
      <c r="C12" s="132"/>
      <c r="D12" s="132"/>
      <c r="E12" s="132"/>
      <c r="F12" s="132"/>
      <c r="G12" s="132"/>
      <c r="H12" s="133"/>
      <c r="J12" s="110" t="s">
        <v>257</v>
      </c>
      <c r="K12" s="131"/>
      <c r="L12" s="132"/>
      <c r="M12" s="132"/>
      <c r="N12" s="132"/>
      <c r="O12" s="132"/>
      <c r="P12" s="132"/>
      <c r="Q12" s="133"/>
    </row>
    <row r="13" spans="1:17" ht="14.5" x14ac:dyDescent="0.25">
      <c r="A13" s="115"/>
      <c r="B13" s="136"/>
      <c r="C13" s="136"/>
      <c r="D13" s="136"/>
      <c r="E13" s="136"/>
      <c r="F13" s="136"/>
      <c r="G13" s="136"/>
      <c r="H13" s="136"/>
      <c r="J13" s="115"/>
      <c r="K13" s="136"/>
      <c r="L13" s="136"/>
      <c r="M13" s="136"/>
      <c r="N13" s="136"/>
      <c r="O13" s="136"/>
      <c r="P13" s="136"/>
      <c r="Q13" s="136"/>
    </row>
    <row r="14" spans="1:17" ht="43.5" x14ac:dyDescent="0.25">
      <c r="A14" s="107" t="s">
        <v>258</v>
      </c>
      <c r="B14" s="137"/>
      <c r="C14" s="137"/>
      <c r="D14" s="137"/>
      <c r="E14" s="137"/>
      <c r="F14" s="137"/>
      <c r="G14" s="137"/>
      <c r="H14" s="137"/>
      <c r="J14" s="107" t="s">
        <v>258</v>
      </c>
      <c r="K14" s="137"/>
      <c r="L14" s="137"/>
      <c r="M14" s="137"/>
      <c r="N14" s="137"/>
      <c r="O14" s="137"/>
      <c r="P14" s="137"/>
      <c r="Q14" s="137"/>
    </row>
    <row r="15" spans="1:17" ht="29" x14ac:dyDescent="0.25">
      <c r="A15" s="109" t="s">
        <v>259</v>
      </c>
      <c r="B15" s="265" t="s">
        <v>220</v>
      </c>
      <c r="C15" s="265"/>
      <c r="D15" s="265"/>
      <c r="E15" s="265"/>
      <c r="F15" s="265"/>
      <c r="G15" s="265"/>
      <c r="H15" s="265"/>
      <c r="J15" s="109" t="s">
        <v>259</v>
      </c>
      <c r="K15" s="265" t="s">
        <v>387</v>
      </c>
      <c r="L15" s="265"/>
      <c r="M15" s="265"/>
      <c r="N15" s="265"/>
      <c r="O15" s="265"/>
      <c r="P15" s="265"/>
      <c r="Q15" s="265"/>
    </row>
    <row r="16" spans="1:17" ht="14.5" x14ac:dyDescent="0.25">
      <c r="A16" s="108" t="s">
        <v>260</v>
      </c>
      <c r="B16" s="263" t="s">
        <v>315</v>
      </c>
      <c r="C16" s="263"/>
      <c r="D16" s="263"/>
      <c r="E16" s="263"/>
      <c r="F16" s="263"/>
      <c r="G16" s="263"/>
      <c r="H16" s="263"/>
      <c r="J16" s="108" t="s">
        <v>260</v>
      </c>
      <c r="K16" s="263" t="s">
        <v>388</v>
      </c>
      <c r="L16" s="263"/>
      <c r="M16" s="263"/>
      <c r="N16" s="263"/>
      <c r="O16" s="263"/>
      <c r="P16" s="263"/>
      <c r="Q16" s="263"/>
    </row>
    <row r="17" spans="1:17" ht="14.5" x14ac:dyDescent="0.25">
      <c r="A17" s="108" t="s">
        <v>261</v>
      </c>
      <c r="B17" s="265" t="s">
        <v>316</v>
      </c>
      <c r="C17" s="265"/>
      <c r="D17" s="265"/>
      <c r="E17" s="265"/>
      <c r="F17" s="265"/>
      <c r="G17" s="265"/>
      <c r="H17" s="265"/>
      <c r="J17" s="108" t="s">
        <v>261</v>
      </c>
      <c r="K17" s="265" t="s">
        <v>389</v>
      </c>
      <c r="L17" s="265"/>
      <c r="M17" s="265"/>
      <c r="N17" s="265"/>
      <c r="O17" s="265"/>
      <c r="P17" s="265"/>
      <c r="Q17" s="265"/>
    </row>
    <row r="18" spans="1:17" ht="14.5" x14ac:dyDescent="0.25">
      <c r="A18" s="110" t="s">
        <v>262</v>
      </c>
      <c r="B18" s="250" t="s">
        <v>317</v>
      </c>
      <c r="C18" s="250"/>
      <c r="D18" s="250"/>
      <c r="E18" s="250"/>
      <c r="F18" s="250"/>
      <c r="G18" s="250"/>
      <c r="H18" s="250"/>
      <c r="J18" s="110" t="s">
        <v>262</v>
      </c>
      <c r="K18" s="250" t="s">
        <v>390</v>
      </c>
      <c r="L18" s="250"/>
      <c r="M18" s="250"/>
      <c r="N18" s="250"/>
      <c r="O18" s="250"/>
      <c r="P18" s="250"/>
      <c r="Q18" s="250"/>
    </row>
    <row r="19" spans="1:17" ht="14.5" x14ac:dyDescent="0.25">
      <c r="A19" s="109" t="s">
        <v>263</v>
      </c>
      <c r="B19" s="265" t="s">
        <v>319</v>
      </c>
      <c r="C19" s="265"/>
      <c r="D19" s="265"/>
      <c r="E19" s="265"/>
      <c r="F19" s="265"/>
      <c r="G19" s="265"/>
      <c r="H19" s="265"/>
      <c r="J19" s="109" t="s">
        <v>263</v>
      </c>
      <c r="K19" s="265" t="s">
        <v>391</v>
      </c>
      <c r="L19" s="265"/>
      <c r="M19" s="265"/>
      <c r="N19" s="265"/>
      <c r="O19" s="265"/>
      <c r="P19" s="265"/>
      <c r="Q19" s="265"/>
    </row>
    <row r="20" spans="1:17" ht="14.5" x14ac:dyDescent="0.25">
      <c r="A20" s="108" t="s">
        <v>264</v>
      </c>
      <c r="B20" s="263" t="s">
        <v>318</v>
      </c>
      <c r="C20" s="263"/>
      <c r="D20" s="263"/>
      <c r="E20" s="263"/>
      <c r="F20" s="263"/>
      <c r="G20" s="263"/>
      <c r="H20" s="263"/>
      <c r="J20" s="108" t="s">
        <v>264</v>
      </c>
      <c r="K20" s="263"/>
      <c r="L20" s="263"/>
      <c r="M20" s="263"/>
      <c r="N20" s="263"/>
      <c r="O20" s="263"/>
      <c r="P20" s="263"/>
      <c r="Q20" s="263"/>
    </row>
    <row r="21" spans="1:17" ht="14.5" x14ac:dyDescent="0.25">
      <c r="A21" s="116"/>
      <c r="B21" s="112"/>
      <c r="C21" s="112"/>
      <c r="D21" s="112"/>
      <c r="E21" s="112"/>
      <c r="F21" s="112"/>
      <c r="G21" s="112"/>
      <c r="H21" s="112"/>
      <c r="J21" s="116"/>
      <c r="K21" s="112"/>
      <c r="L21" s="112"/>
      <c r="M21" s="112"/>
      <c r="N21" s="112"/>
      <c r="O21" s="112"/>
      <c r="P21" s="112"/>
      <c r="Q21" s="112"/>
    </row>
    <row r="22" spans="1:17" ht="58" x14ac:dyDescent="0.25">
      <c r="A22" s="117" t="s">
        <v>265</v>
      </c>
      <c r="B22" s="254" t="s">
        <v>68</v>
      </c>
      <c r="C22" s="254"/>
      <c r="D22" s="254"/>
      <c r="E22" s="262" t="s">
        <v>266</v>
      </c>
      <c r="F22" s="262"/>
      <c r="G22" s="262"/>
      <c r="H22" s="262"/>
      <c r="J22" s="117" t="s">
        <v>265</v>
      </c>
      <c r="K22" s="254" t="s">
        <v>68</v>
      </c>
      <c r="L22" s="254"/>
      <c r="M22" s="254"/>
      <c r="N22" s="262" t="s">
        <v>266</v>
      </c>
      <c r="O22" s="262"/>
      <c r="P22" s="262"/>
      <c r="Q22" s="262"/>
    </row>
    <row r="23" spans="1:17" ht="58" x14ac:dyDescent="0.25">
      <c r="A23" s="110" t="s">
        <v>267</v>
      </c>
      <c r="B23" s="248" t="s">
        <v>325</v>
      </c>
      <c r="C23" s="248"/>
      <c r="D23" s="248"/>
      <c r="E23" s="251" t="s">
        <v>327</v>
      </c>
      <c r="F23" s="251"/>
      <c r="G23" s="251"/>
      <c r="H23" s="251"/>
      <c r="J23" s="110" t="s">
        <v>267</v>
      </c>
      <c r="K23" s="248" t="s">
        <v>392</v>
      </c>
      <c r="L23" s="248"/>
      <c r="M23" s="248"/>
      <c r="N23" s="251" t="s">
        <v>327</v>
      </c>
      <c r="O23" s="251"/>
      <c r="P23" s="251"/>
      <c r="Q23" s="251"/>
    </row>
    <row r="24" spans="1:17" ht="114" customHeight="1" x14ac:dyDescent="0.25">
      <c r="A24" s="110" t="s">
        <v>268</v>
      </c>
      <c r="B24" s="242" t="s">
        <v>326</v>
      </c>
      <c r="C24" s="242"/>
      <c r="D24" s="242"/>
      <c r="E24" s="250" t="s">
        <v>327</v>
      </c>
      <c r="F24" s="263"/>
      <c r="G24" s="263"/>
      <c r="H24" s="263"/>
      <c r="J24" s="110" t="s">
        <v>268</v>
      </c>
      <c r="K24" s="242" t="s">
        <v>393</v>
      </c>
      <c r="L24" s="242"/>
      <c r="M24" s="242"/>
      <c r="N24" s="250" t="s">
        <v>327</v>
      </c>
      <c r="O24" s="263"/>
      <c r="P24" s="263"/>
      <c r="Q24" s="263"/>
    </row>
    <row r="25" spans="1:17" ht="130.5" x14ac:dyDescent="0.25">
      <c r="A25" s="110" t="s">
        <v>269</v>
      </c>
      <c r="B25" s="248"/>
      <c r="C25" s="248"/>
      <c r="D25" s="248"/>
      <c r="E25" s="251"/>
      <c r="F25" s="251"/>
      <c r="G25" s="251"/>
      <c r="H25" s="251"/>
      <c r="J25" s="110" t="s">
        <v>269</v>
      </c>
      <c r="K25" s="248"/>
      <c r="L25" s="248"/>
      <c r="M25" s="248"/>
      <c r="N25" s="251"/>
      <c r="O25" s="251"/>
      <c r="P25" s="251"/>
      <c r="Q25" s="251"/>
    </row>
    <row r="26" spans="1:17" ht="85.5" customHeight="1" x14ac:dyDescent="0.25">
      <c r="A26" s="110" t="s">
        <v>270</v>
      </c>
      <c r="B26" s="242" t="s">
        <v>328</v>
      </c>
      <c r="C26" s="242"/>
      <c r="D26" s="242"/>
      <c r="E26" s="250" t="s">
        <v>327</v>
      </c>
      <c r="F26" s="263"/>
      <c r="G26" s="263"/>
      <c r="H26" s="263"/>
      <c r="J26" s="110" t="s">
        <v>270</v>
      </c>
      <c r="K26" s="242" t="s">
        <v>328</v>
      </c>
      <c r="L26" s="242"/>
      <c r="M26" s="242"/>
      <c r="N26" s="250" t="s">
        <v>327</v>
      </c>
      <c r="O26" s="263"/>
      <c r="P26" s="263"/>
      <c r="Q26" s="263"/>
    </row>
    <row r="27" spans="1:17" ht="72.5" x14ac:dyDescent="0.25">
      <c r="A27" s="118" t="s">
        <v>271</v>
      </c>
      <c r="B27" s="264"/>
      <c r="C27" s="264"/>
      <c r="D27" s="264"/>
      <c r="E27" s="251"/>
      <c r="F27" s="251"/>
      <c r="G27" s="251"/>
      <c r="H27" s="251"/>
      <c r="J27" s="118" t="s">
        <v>271</v>
      </c>
      <c r="K27" s="264"/>
      <c r="L27" s="264"/>
      <c r="M27" s="264"/>
      <c r="N27" s="251"/>
      <c r="O27" s="251"/>
      <c r="P27" s="251"/>
      <c r="Q27" s="251"/>
    </row>
    <row r="28" spans="1:17" ht="43.5" x14ac:dyDescent="0.25">
      <c r="A28" s="110" t="s">
        <v>272</v>
      </c>
      <c r="B28" s="242"/>
      <c r="C28" s="242"/>
      <c r="D28" s="242"/>
      <c r="E28" s="250"/>
      <c r="F28" s="250"/>
      <c r="G28" s="250"/>
      <c r="H28" s="250"/>
      <c r="J28" s="110" t="s">
        <v>272</v>
      </c>
      <c r="K28" s="242"/>
      <c r="L28" s="242"/>
      <c r="M28" s="242"/>
      <c r="N28" s="250"/>
      <c r="O28" s="250"/>
      <c r="P28" s="250"/>
      <c r="Q28" s="250"/>
    </row>
    <row r="29" spans="1:17" ht="14.5" x14ac:dyDescent="0.25">
      <c r="A29" s="115"/>
      <c r="B29" s="136"/>
      <c r="C29" s="136"/>
      <c r="D29" s="136"/>
      <c r="E29" s="136"/>
      <c r="F29" s="136"/>
      <c r="G29" s="136"/>
      <c r="H29" s="136"/>
      <c r="J29" s="115"/>
      <c r="K29" s="136"/>
      <c r="L29" s="136"/>
      <c r="M29" s="136"/>
      <c r="N29" s="136"/>
      <c r="O29" s="136"/>
      <c r="P29" s="136"/>
      <c r="Q29" s="136"/>
    </row>
    <row r="30" spans="1:17" ht="29" x14ac:dyDescent="0.25">
      <c r="A30" s="117" t="s">
        <v>273</v>
      </c>
      <c r="B30" s="254" t="s">
        <v>68</v>
      </c>
      <c r="C30" s="254"/>
      <c r="D30" s="254"/>
      <c r="E30" s="262" t="s">
        <v>266</v>
      </c>
      <c r="F30" s="262"/>
      <c r="G30" s="262"/>
      <c r="H30" s="262"/>
      <c r="J30" s="117" t="s">
        <v>273</v>
      </c>
      <c r="K30" s="254" t="s">
        <v>68</v>
      </c>
      <c r="L30" s="254"/>
      <c r="M30" s="254"/>
      <c r="N30" s="262" t="s">
        <v>266</v>
      </c>
      <c r="O30" s="262"/>
      <c r="P30" s="262"/>
      <c r="Q30" s="262"/>
    </row>
    <row r="31" spans="1:17" ht="43.5" x14ac:dyDescent="0.25">
      <c r="A31" s="110" t="s">
        <v>274</v>
      </c>
      <c r="B31" s="248"/>
      <c r="C31" s="248"/>
      <c r="D31" s="248"/>
      <c r="E31" s="251"/>
      <c r="F31" s="251"/>
      <c r="G31" s="251"/>
      <c r="H31" s="251"/>
      <c r="J31" s="110" t="s">
        <v>274</v>
      </c>
      <c r="K31" s="248"/>
      <c r="L31" s="248"/>
      <c r="M31" s="248"/>
      <c r="N31" s="251"/>
      <c r="O31" s="251"/>
      <c r="P31" s="251"/>
      <c r="Q31" s="251"/>
    </row>
    <row r="32" spans="1:17" ht="43.5" x14ac:dyDescent="0.25">
      <c r="A32" s="110" t="s">
        <v>275</v>
      </c>
      <c r="B32" s="242"/>
      <c r="C32" s="242"/>
      <c r="D32" s="242"/>
      <c r="E32" s="250"/>
      <c r="F32" s="250"/>
      <c r="G32" s="250"/>
      <c r="H32" s="250"/>
      <c r="J32" s="110" t="s">
        <v>275</v>
      </c>
      <c r="K32" s="242"/>
      <c r="L32" s="242"/>
      <c r="M32" s="242"/>
      <c r="N32" s="250"/>
      <c r="O32" s="250"/>
      <c r="P32" s="250"/>
      <c r="Q32" s="250"/>
    </row>
    <row r="33" spans="1:17" ht="58" x14ac:dyDescent="0.25">
      <c r="A33" s="110" t="s">
        <v>276</v>
      </c>
      <c r="B33" s="248"/>
      <c r="C33" s="248"/>
      <c r="D33" s="248"/>
      <c r="E33" s="251"/>
      <c r="F33" s="251"/>
      <c r="G33" s="251"/>
      <c r="H33" s="251"/>
      <c r="J33" s="110" t="s">
        <v>276</v>
      </c>
      <c r="K33" s="248"/>
      <c r="L33" s="248"/>
      <c r="M33" s="248"/>
      <c r="N33" s="251"/>
      <c r="O33" s="251"/>
      <c r="P33" s="251"/>
      <c r="Q33" s="251"/>
    </row>
    <row r="34" spans="1:17" ht="43.5" x14ac:dyDescent="0.25">
      <c r="A34" s="110" t="s">
        <v>277</v>
      </c>
      <c r="B34" s="242"/>
      <c r="C34" s="242"/>
      <c r="D34" s="242"/>
      <c r="E34" s="250"/>
      <c r="F34" s="250"/>
      <c r="G34" s="250"/>
      <c r="H34" s="250"/>
      <c r="J34" s="110" t="s">
        <v>277</v>
      </c>
      <c r="K34" s="242"/>
      <c r="L34" s="242"/>
      <c r="M34" s="242"/>
      <c r="N34" s="250"/>
      <c r="O34" s="250"/>
      <c r="P34" s="250"/>
      <c r="Q34" s="250"/>
    </row>
    <row r="35" spans="1:17" ht="29" x14ac:dyDescent="0.25">
      <c r="A35" s="110" t="s">
        <v>278</v>
      </c>
      <c r="B35" s="248"/>
      <c r="C35" s="248"/>
      <c r="D35" s="248"/>
      <c r="E35" s="251"/>
      <c r="F35" s="251"/>
      <c r="G35" s="251"/>
      <c r="H35" s="251"/>
      <c r="J35" s="110" t="s">
        <v>278</v>
      </c>
      <c r="K35" s="248"/>
      <c r="L35" s="248"/>
      <c r="M35" s="248"/>
      <c r="N35" s="251"/>
      <c r="O35" s="251"/>
      <c r="P35" s="251"/>
      <c r="Q35" s="251"/>
    </row>
    <row r="36" spans="1:17" ht="87" x14ac:dyDescent="0.25">
      <c r="A36" s="110" t="s">
        <v>279</v>
      </c>
      <c r="B36" s="242"/>
      <c r="C36" s="242"/>
      <c r="D36" s="242"/>
      <c r="E36" s="250"/>
      <c r="F36" s="250"/>
      <c r="G36" s="250"/>
      <c r="H36" s="250"/>
      <c r="J36" s="110" t="s">
        <v>279</v>
      </c>
      <c r="K36" s="242"/>
      <c r="L36" s="242"/>
      <c r="M36" s="242"/>
      <c r="N36" s="250"/>
      <c r="O36" s="250"/>
      <c r="P36" s="250"/>
      <c r="Q36" s="250"/>
    </row>
    <row r="37" spans="1:17" ht="43.5" x14ac:dyDescent="0.25">
      <c r="A37" s="110" t="s">
        <v>280</v>
      </c>
      <c r="B37" s="248"/>
      <c r="C37" s="248"/>
      <c r="D37" s="248"/>
      <c r="E37" s="251"/>
      <c r="F37" s="251"/>
      <c r="G37" s="251"/>
      <c r="H37" s="251"/>
      <c r="J37" s="110" t="s">
        <v>280</v>
      </c>
      <c r="K37" s="248"/>
      <c r="L37" s="248"/>
      <c r="M37" s="248"/>
      <c r="N37" s="251"/>
      <c r="O37" s="251"/>
      <c r="P37" s="251"/>
      <c r="Q37" s="251"/>
    </row>
    <row r="38" spans="1:17" ht="72.5" x14ac:dyDescent="0.25">
      <c r="A38" s="110" t="s">
        <v>281</v>
      </c>
      <c r="B38" s="242"/>
      <c r="C38" s="242"/>
      <c r="D38" s="242"/>
      <c r="E38" s="250"/>
      <c r="F38" s="250"/>
      <c r="G38" s="250"/>
      <c r="H38" s="250"/>
      <c r="J38" s="110" t="s">
        <v>281</v>
      </c>
      <c r="K38" s="242"/>
      <c r="L38" s="242"/>
      <c r="M38" s="242"/>
      <c r="N38" s="250"/>
      <c r="O38" s="250"/>
      <c r="P38" s="250"/>
      <c r="Q38" s="250"/>
    </row>
    <row r="39" spans="1:17" ht="72.5" x14ac:dyDescent="0.25">
      <c r="A39" s="110" t="s">
        <v>282</v>
      </c>
      <c r="B39" s="248"/>
      <c r="C39" s="248"/>
      <c r="D39" s="248"/>
      <c r="E39" s="251"/>
      <c r="F39" s="251"/>
      <c r="G39" s="251"/>
      <c r="H39" s="251"/>
      <c r="J39" s="110" t="s">
        <v>282</v>
      </c>
      <c r="K39" s="248"/>
      <c r="L39" s="248"/>
      <c r="M39" s="248"/>
      <c r="N39" s="251"/>
      <c r="O39" s="251"/>
      <c r="P39" s="251"/>
      <c r="Q39" s="251"/>
    </row>
    <row r="40" spans="1:17" ht="14.5" x14ac:dyDescent="0.25">
      <c r="A40" s="111"/>
      <c r="B40" s="112"/>
      <c r="C40" s="112"/>
      <c r="D40" s="112"/>
      <c r="E40" s="112"/>
      <c r="F40" s="112"/>
      <c r="G40" s="112"/>
      <c r="H40" s="112"/>
      <c r="J40" s="111"/>
      <c r="K40" s="112"/>
      <c r="L40" s="112"/>
      <c r="M40" s="112"/>
      <c r="N40" s="112"/>
      <c r="O40" s="112"/>
      <c r="P40" s="112"/>
      <c r="Q40" s="112"/>
    </row>
    <row r="41" spans="1:17" ht="43.5" x14ac:dyDescent="0.25">
      <c r="A41" s="117" t="s">
        <v>283</v>
      </c>
      <c r="B41" s="254" t="s">
        <v>68</v>
      </c>
      <c r="C41" s="254"/>
      <c r="D41" s="254"/>
      <c r="E41" s="255" t="s">
        <v>284</v>
      </c>
      <c r="F41" s="255"/>
      <c r="G41" s="255"/>
      <c r="H41" s="255"/>
      <c r="J41" s="117" t="s">
        <v>283</v>
      </c>
      <c r="K41" s="254" t="s">
        <v>68</v>
      </c>
      <c r="L41" s="254"/>
      <c r="M41" s="254"/>
      <c r="N41" s="255" t="s">
        <v>284</v>
      </c>
      <c r="O41" s="255"/>
      <c r="P41" s="255"/>
      <c r="Q41" s="255"/>
    </row>
    <row r="42" spans="1:17" ht="29" x14ac:dyDescent="0.25">
      <c r="A42" s="109" t="s">
        <v>285</v>
      </c>
      <c r="B42" s="249" t="s">
        <v>329</v>
      </c>
      <c r="C42" s="249"/>
      <c r="D42" s="249"/>
      <c r="E42" s="258" t="s">
        <v>330</v>
      </c>
      <c r="F42" s="258"/>
      <c r="G42" s="258"/>
      <c r="H42" s="258"/>
      <c r="J42" s="109" t="s">
        <v>285</v>
      </c>
      <c r="K42" s="249" t="s">
        <v>329</v>
      </c>
      <c r="L42" s="249"/>
      <c r="M42" s="249"/>
      <c r="N42" s="258" t="s">
        <v>330</v>
      </c>
      <c r="O42" s="258"/>
      <c r="P42" s="258"/>
      <c r="Q42" s="258"/>
    </row>
    <row r="43" spans="1:17" ht="29" x14ac:dyDescent="0.25">
      <c r="A43" s="108" t="s">
        <v>286</v>
      </c>
      <c r="B43" s="259"/>
      <c r="C43" s="259"/>
      <c r="D43" s="259"/>
      <c r="E43" s="260"/>
      <c r="F43" s="260"/>
      <c r="G43" s="260"/>
      <c r="H43" s="260"/>
      <c r="J43" s="108" t="s">
        <v>286</v>
      </c>
      <c r="K43" s="259"/>
      <c r="L43" s="259"/>
      <c r="M43" s="259"/>
      <c r="N43" s="260"/>
      <c r="O43" s="260"/>
      <c r="P43" s="260"/>
      <c r="Q43" s="260"/>
    </row>
    <row r="44" spans="1:17" ht="14.5" x14ac:dyDescent="0.25">
      <c r="A44" s="111"/>
      <c r="B44" s="112"/>
      <c r="C44" s="112"/>
      <c r="D44" s="112"/>
      <c r="E44" s="112"/>
      <c r="F44" s="112"/>
      <c r="G44" s="112"/>
      <c r="H44" s="112"/>
      <c r="J44" s="111"/>
      <c r="K44" s="112"/>
      <c r="L44" s="112"/>
      <c r="M44" s="112"/>
      <c r="N44" s="112"/>
      <c r="O44" s="112"/>
      <c r="P44" s="112"/>
      <c r="Q44" s="112"/>
    </row>
    <row r="45" spans="1:17" ht="14.5" x14ac:dyDescent="0.25">
      <c r="A45" s="117" t="s">
        <v>287</v>
      </c>
      <c r="B45" s="261" t="s">
        <v>288</v>
      </c>
      <c r="C45" s="261"/>
      <c r="D45" s="261"/>
      <c r="E45" s="262" t="s">
        <v>284</v>
      </c>
      <c r="F45" s="262"/>
      <c r="G45" s="262"/>
      <c r="H45" s="262"/>
      <c r="J45" s="117" t="s">
        <v>287</v>
      </c>
      <c r="K45" s="261" t="s">
        <v>288</v>
      </c>
      <c r="L45" s="261"/>
      <c r="M45" s="261"/>
      <c r="N45" s="262" t="s">
        <v>284</v>
      </c>
      <c r="O45" s="262"/>
      <c r="P45" s="262"/>
      <c r="Q45" s="262"/>
    </row>
    <row r="46" spans="1:17" ht="14.5" x14ac:dyDescent="0.25">
      <c r="A46" s="109" t="s">
        <v>289</v>
      </c>
      <c r="B46" s="249" t="s">
        <v>331</v>
      </c>
      <c r="C46" s="249"/>
      <c r="D46" s="249"/>
      <c r="E46" s="250" t="s">
        <v>400</v>
      </c>
      <c r="F46" s="250"/>
      <c r="G46" s="250"/>
      <c r="H46" s="250"/>
      <c r="J46" s="109" t="s">
        <v>289</v>
      </c>
      <c r="K46" s="249" t="s">
        <v>331</v>
      </c>
      <c r="L46" s="249"/>
      <c r="M46" s="249"/>
      <c r="N46" s="250" t="s">
        <v>332</v>
      </c>
      <c r="O46" s="250"/>
      <c r="P46" s="250"/>
      <c r="Q46" s="250"/>
    </row>
    <row r="47" spans="1:17" ht="14.5" x14ac:dyDescent="0.25">
      <c r="A47" s="108" t="s">
        <v>290</v>
      </c>
      <c r="B47" s="256" t="s">
        <v>333</v>
      </c>
      <c r="C47" s="256"/>
      <c r="D47" s="256"/>
      <c r="E47" s="251" t="s">
        <v>334</v>
      </c>
      <c r="F47" s="251"/>
      <c r="G47" s="251"/>
      <c r="H47" s="251"/>
      <c r="J47" s="108" t="s">
        <v>290</v>
      </c>
      <c r="K47" s="256" t="s">
        <v>333</v>
      </c>
      <c r="L47" s="256"/>
      <c r="M47" s="256"/>
      <c r="N47" s="251" t="s">
        <v>334</v>
      </c>
      <c r="O47" s="251"/>
      <c r="P47" s="251"/>
      <c r="Q47" s="251"/>
    </row>
    <row r="48" spans="1:17" ht="14.5" x14ac:dyDescent="0.25">
      <c r="A48" s="108" t="s">
        <v>291</v>
      </c>
      <c r="B48" s="249" t="s">
        <v>335</v>
      </c>
      <c r="C48" s="249"/>
      <c r="D48" s="249"/>
      <c r="E48" s="250" t="s">
        <v>336</v>
      </c>
      <c r="F48" s="250"/>
      <c r="G48" s="250"/>
      <c r="H48" s="250"/>
      <c r="J48" s="108" t="s">
        <v>291</v>
      </c>
      <c r="K48" s="249"/>
      <c r="L48" s="249"/>
      <c r="M48" s="249"/>
      <c r="N48" s="250"/>
      <c r="O48" s="250"/>
      <c r="P48" s="250"/>
      <c r="Q48" s="250"/>
    </row>
    <row r="49" spans="1:17" ht="14.5" x14ac:dyDescent="0.25">
      <c r="A49" s="110" t="s">
        <v>292</v>
      </c>
      <c r="B49" s="248"/>
      <c r="C49" s="248"/>
      <c r="D49" s="248"/>
      <c r="E49" s="251"/>
      <c r="F49" s="251"/>
      <c r="G49" s="251"/>
      <c r="H49" s="251"/>
      <c r="J49" s="110" t="s">
        <v>292</v>
      </c>
      <c r="K49" s="248"/>
      <c r="L49" s="248"/>
      <c r="M49" s="248"/>
      <c r="N49" s="251"/>
      <c r="O49" s="251"/>
      <c r="P49" s="251"/>
      <c r="Q49" s="251"/>
    </row>
    <row r="50" spans="1:17" ht="14.5" x14ac:dyDescent="0.25">
      <c r="A50" s="111"/>
      <c r="B50" s="119"/>
      <c r="C50" s="119"/>
      <c r="D50" s="119"/>
      <c r="E50" s="112"/>
      <c r="F50" s="112"/>
      <c r="G50" s="112"/>
      <c r="H50" s="112"/>
      <c r="J50" s="111"/>
      <c r="K50" s="119"/>
      <c r="L50" s="119"/>
      <c r="M50" s="119"/>
      <c r="N50" s="112"/>
      <c r="O50" s="112"/>
      <c r="P50" s="112"/>
      <c r="Q50" s="112"/>
    </row>
    <row r="51" spans="1:17" ht="29" x14ac:dyDescent="0.25">
      <c r="A51" s="117" t="s">
        <v>293</v>
      </c>
      <c r="B51" s="254" t="s">
        <v>294</v>
      </c>
      <c r="C51" s="254"/>
      <c r="D51" s="254"/>
      <c r="E51" s="255" t="s">
        <v>284</v>
      </c>
      <c r="F51" s="255"/>
      <c r="G51" s="255"/>
      <c r="H51" s="255"/>
      <c r="J51" s="117" t="s">
        <v>293</v>
      </c>
      <c r="K51" s="254" t="s">
        <v>294</v>
      </c>
      <c r="L51" s="254"/>
      <c r="M51" s="254"/>
      <c r="N51" s="255" t="s">
        <v>284</v>
      </c>
      <c r="O51" s="255"/>
      <c r="P51" s="255"/>
      <c r="Q51" s="255"/>
    </row>
    <row r="52" spans="1:17" ht="29" x14ac:dyDescent="0.25">
      <c r="A52" s="110" t="s">
        <v>295</v>
      </c>
      <c r="B52" s="256" t="s">
        <v>337</v>
      </c>
      <c r="C52" s="256"/>
      <c r="D52" s="256"/>
      <c r="E52" s="257" t="s">
        <v>401</v>
      </c>
      <c r="F52" s="257"/>
      <c r="G52" s="257"/>
      <c r="H52" s="257"/>
      <c r="J52" s="110" t="s">
        <v>295</v>
      </c>
      <c r="K52" s="256" t="s">
        <v>337</v>
      </c>
      <c r="L52" s="256"/>
      <c r="M52" s="256"/>
      <c r="N52" s="257" t="s">
        <v>401</v>
      </c>
      <c r="O52" s="257"/>
      <c r="P52" s="257"/>
      <c r="Q52" s="257"/>
    </row>
    <row r="53" spans="1:17" ht="43.5" customHeight="1" x14ac:dyDescent="0.25">
      <c r="A53" s="110" t="s">
        <v>296</v>
      </c>
      <c r="B53" s="249" t="s">
        <v>338</v>
      </c>
      <c r="C53" s="249"/>
      <c r="D53" s="249"/>
      <c r="E53" s="250" t="s">
        <v>401</v>
      </c>
      <c r="F53" s="250"/>
      <c r="G53" s="250"/>
      <c r="H53" s="250"/>
      <c r="J53" s="110" t="s">
        <v>296</v>
      </c>
      <c r="K53" s="249" t="s">
        <v>338</v>
      </c>
      <c r="L53" s="249"/>
      <c r="M53" s="249"/>
      <c r="N53" s="250" t="s">
        <v>401</v>
      </c>
      <c r="O53" s="250"/>
      <c r="P53" s="250"/>
      <c r="Q53" s="250"/>
    </row>
    <row r="54" spans="1:17" ht="29" x14ac:dyDescent="0.25">
      <c r="A54" s="118" t="s">
        <v>297</v>
      </c>
      <c r="B54" s="248"/>
      <c r="C54" s="248"/>
      <c r="D54" s="248"/>
      <c r="E54" s="251"/>
      <c r="F54" s="251"/>
      <c r="G54" s="251"/>
      <c r="H54" s="251"/>
      <c r="J54" s="118" t="s">
        <v>297</v>
      </c>
      <c r="K54" s="248"/>
      <c r="L54" s="248"/>
      <c r="M54" s="248"/>
      <c r="N54" s="251"/>
      <c r="O54" s="251"/>
      <c r="P54" s="251"/>
      <c r="Q54" s="251"/>
    </row>
    <row r="55" spans="1:17" ht="14.5" x14ac:dyDescent="0.25">
      <c r="A55" s="120"/>
      <c r="B55" s="138"/>
      <c r="C55" s="139"/>
      <c r="D55" s="139"/>
      <c r="E55" s="140"/>
      <c r="F55" s="140"/>
      <c r="G55" s="140"/>
      <c r="H55" s="140"/>
      <c r="J55" s="120"/>
      <c r="K55" s="138"/>
      <c r="L55" s="139"/>
      <c r="M55" s="139"/>
      <c r="N55" s="140"/>
      <c r="O55" s="140"/>
      <c r="P55" s="140"/>
      <c r="Q55" s="140"/>
    </row>
    <row r="56" spans="1:17" ht="14.5" x14ac:dyDescent="0.25">
      <c r="A56" s="121" t="s">
        <v>298</v>
      </c>
      <c r="B56" s="122" t="s">
        <v>299</v>
      </c>
      <c r="C56" s="122" t="s">
        <v>250</v>
      </c>
      <c r="D56" s="252" t="s">
        <v>300</v>
      </c>
      <c r="E56" s="252"/>
      <c r="F56" s="253" t="s">
        <v>301</v>
      </c>
      <c r="G56" s="253"/>
      <c r="H56" s="253"/>
      <c r="J56" s="121" t="s">
        <v>298</v>
      </c>
      <c r="K56" s="122" t="s">
        <v>299</v>
      </c>
      <c r="L56" s="122" t="s">
        <v>250</v>
      </c>
      <c r="M56" s="252" t="s">
        <v>300</v>
      </c>
      <c r="N56" s="252"/>
      <c r="O56" s="253" t="s">
        <v>301</v>
      </c>
      <c r="P56" s="253"/>
      <c r="Q56" s="253"/>
    </row>
    <row r="57" spans="1:17" ht="43.5" x14ac:dyDescent="0.25">
      <c r="A57" s="109" t="s">
        <v>302</v>
      </c>
      <c r="B57" s="142" t="s">
        <v>339</v>
      </c>
      <c r="C57" s="142" t="s">
        <v>340</v>
      </c>
      <c r="D57" s="245" t="s">
        <v>341</v>
      </c>
      <c r="E57" s="245"/>
      <c r="F57" s="246"/>
      <c r="G57" s="246"/>
      <c r="H57" s="246"/>
      <c r="J57" s="109" t="s">
        <v>302</v>
      </c>
      <c r="K57" s="142"/>
      <c r="L57" s="142"/>
      <c r="M57" s="245"/>
      <c r="N57" s="245"/>
      <c r="O57" s="246"/>
      <c r="P57" s="246"/>
      <c r="Q57" s="246"/>
    </row>
    <row r="58" spans="1:17" ht="29" x14ac:dyDescent="0.25">
      <c r="A58" s="108" t="s">
        <v>303</v>
      </c>
      <c r="B58" s="143"/>
      <c r="C58" s="144"/>
      <c r="D58" s="242"/>
      <c r="E58" s="242"/>
      <c r="F58" s="247"/>
      <c r="G58" s="247"/>
      <c r="H58" s="247"/>
      <c r="J58" s="108" t="s">
        <v>303</v>
      </c>
      <c r="K58" s="143"/>
      <c r="L58" s="144"/>
      <c r="M58" s="242"/>
      <c r="N58" s="242"/>
      <c r="O58" s="247"/>
      <c r="P58" s="247"/>
      <c r="Q58" s="247"/>
    </row>
    <row r="59" spans="1:17" ht="29" x14ac:dyDescent="0.25">
      <c r="A59" s="109" t="s">
        <v>304</v>
      </c>
      <c r="B59" s="141"/>
      <c r="C59" s="145"/>
      <c r="D59" s="248"/>
      <c r="E59" s="248"/>
      <c r="F59" s="246"/>
      <c r="G59" s="246"/>
      <c r="H59" s="246"/>
      <c r="J59" s="109" t="s">
        <v>304</v>
      </c>
      <c r="K59" s="141"/>
      <c r="L59" s="145"/>
      <c r="M59" s="248"/>
      <c r="N59" s="248"/>
      <c r="O59" s="246"/>
      <c r="P59" s="246"/>
      <c r="Q59" s="246"/>
    </row>
    <row r="60" spans="1:17" ht="29" x14ac:dyDescent="0.25">
      <c r="A60" s="108" t="s">
        <v>305</v>
      </c>
      <c r="B60" s="143"/>
      <c r="C60" s="144"/>
      <c r="D60" s="242"/>
      <c r="E60" s="242"/>
      <c r="F60" s="242"/>
      <c r="G60" s="242"/>
      <c r="H60" s="146"/>
      <c r="J60" s="108" t="s">
        <v>305</v>
      </c>
      <c r="K60" s="143"/>
      <c r="L60" s="144"/>
      <c r="M60" s="242"/>
      <c r="N60" s="242"/>
      <c r="O60" s="242"/>
      <c r="P60" s="242"/>
      <c r="Q60" s="146"/>
    </row>
    <row r="61" spans="1:17" ht="29" x14ac:dyDescent="0.35">
      <c r="A61" s="108" t="s">
        <v>305</v>
      </c>
      <c r="B61" s="123"/>
      <c r="C61" s="124"/>
      <c r="D61" s="243"/>
      <c r="E61" s="244"/>
      <c r="F61" s="243"/>
      <c r="G61" s="244"/>
      <c r="H61" s="125"/>
      <c r="J61" s="108" t="s">
        <v>305</v>
      </c>
      <c r="K61" s="123"/>
      <c r="L61" s="124"/>
      <c r="M61" s="243"/>
      <c r="N61" s="244"/>
      <c r="O61" s="243"/>
      <c r="P61" s="244"/>
      <c r="Q61" s="125"/>
    </row>
    <row r="63" spans="1:17" ht="29" x14ac:dyDescent="0.25">
      <c r="A63" s="107" t="s">
        <v>242</v>
      </c>
      <c r="B63" s="126"/>
      <c r="C63" s="126"/>
      <c r="D63" s="126"/>
      <c r="E63" s="126"/>
      <c r="F63" s="126"/>
      <c r="G63" s="126"/>
      <c r="H63" s="126"/>
    </row>
    <row r="64" spans="1:17" ht="29" x14ac:dyDescent="0.25">
      <c r="A64" s="108" t="s">
        <v>215</v>
      </c>
      <c r="B64" s="263" t="s">
        <v>321</v>
      </c>
      <c r="C64" s="263"/>
      <c r="D64" s="263"/>
      <c r="E64" s="263"/>
      <c r="F64" s="263"/>
      <c r="G64" s="263"/>
      <c r="H64" s="263"/>
    </row>
    <row r="65" spans="1:8" ht="14.5" x14ac:dyDescent="0.25">
      <c r="A65" s="109" t="s">
        <v>216</v>
      </c>
      <c r="B65" s="266" t="s">
        <v>324</v>
      </c>
      <c r="C65" s="266"/>
      <c r="D65" s="266"/>
      <c r="E65" s="266"/>
      <c r="F65" s="266"/>
      <c r="G65" s="266"/>
      <c r="H65" s="266"/>
    </row>
    <row r="66" spans="1:8" ht="29" x14ac:dyDescent="0.25">
      <c r="A66" s="108" t="s">
        <v>243</v>
      </c>
      <c r="B66" s="263"/>
      <c r="C66" s="263"/>
      <c r="D66" s="263"/>
      <c r="E66" s="263"/>
      <c r="F66" s="263"/>
      <c r="G66" s="263"/>
      <c r="H66" s="263"/>
    </row>
    <row r="67" spans="1:8" ht="29" x14ac:dyDescent="0.25">
      <c r="A67" s="110" t="s">
        <v>244</v>
      </c>
      <c r="B67" s="251"/>
      <c r="C67" s="251"/>
      <c r="D67" s="251"/>
      <c r="E67" s="251"/>
      <c r="F67" s="251"/>
      <c r="G67" s="251"/>
      <c r="H67" s="251"/>
    </row>
    <row r="68" spans="1:8" ht="14.5" x14ac:dyDescent="0.25">
      <c r="A68" s="111"/>
      <c r="B68" s="112"/>
      <c r="C68" s="112"/>
      <c r="D68" s="112"/>
      <c r="E68" s="112"/>
      <c r="F68" s="112"/>
      <c r="G68" s="112"/>
      <c r="H68" s="112"/>
    </row>
    <row r="69" spans="1:8" ht="14.5" x14ac:dyDescent="0.25">
      <c r="A69" s="107" t="s">
        <v>245</v>
      </c>
      <c r="B69" s="113" t="s">
        <v>246</v>
      </c>
      <c r="C69" s="113" t="s">
        <v>247</v>
      </c>
      <c r="D69" s="113" t="s">
        <v>248</v>
      </c>
      <c r="E69" s="113" t="s">
        <v>249</v>
      </c>
      <c r="F69" s="113" t="s">
        <v>250</v>
      </c>
      <c r="G69" s="113" t="s">
        <v>251</v>
      </c>
      <c r="H69" s="113" t="s">
        <v>252</v>
      </c>
    </row>
    <row r="70" spans="1:8" ht="29" x14ac:dyDescent="0.25">
      <c r="A70" s="110" t="s">
        <v>253</v>
      </c>
      <c r="B70" s="127" t="s">
        <v>306</v>
      </c>
      <c r="C70" s="128" t="s">
        <v>307</v>
      </c>
      <c r="D70" s="128" t="s">
        <v>308</v>
      </c>
      <c r="E70" s="128" t="s">
        <v>225</v>
      </c>
      <c r="F70" s="128" t="s">
        <v>312</v>
      </c>
      <c r="G70" s="128" t="s">
        <v>309</v>
      </c>
      <c r="H70" s="147" t="s">
        <v>310</v>
      </c>
    </row>
    <row r="71" spans="1:8" ht="43.5" x14ac:dyDescent="0.25">
      <c r="A71" s="109" t="s">
        <v>254</v>
      </c>
      <c r="B71" s="129" t="s">
        <v>311</v>
      </c>
      <c r="C71" s="130" t="s">
        <v>307</v>
      </c>
      <c r="D71" s="130" t="s">
        <v>308</v>
      </c>
      <c r="E71" s="130" t="s">
        <v>225</v>
      </c>
      <c r="F71" s="130" t="s">
        <v>312</v>
      </c>
      <c r="G71" s="130" t="s">
        <v>309</v>
      </c>
      <c r="H71" s="148" t="s">
        <v>233</v>
      </c>
    </row>
    <row r="72" spans="1:8" ht="43.5" x14ac:dyDescent="0.25">
      <c r="A72" s="114" t="s">
        <v>255</v>
      </c>
      <c r="B72" s="131" t="s">
        <v>314</v>
      </c>
      <c r="C72" s="132"/>
      <c r="D72" s="127"/>
      <c r="E72" s="132"/>
      <c r="F72" s="132"/>
      <c r="G72" s="132"/>
      <c r="H72" s="133"/>
    </row>
    <row r="73" spans="1:8" ht="14.5" x14ac:dyDescent="0.25">
      <c r="A73" s="108" t="s">
        <v>256</v>
      </c>
      <c r="B73" s="134" t="s">
        <v>313</v>
      </c>
      <c r="C73" s="130" t="s">
        <v>307</v>
      </c>
      <c r="D73" s="135" t="s">
        <v>308</v>
      </c>
      <c r="E73" s="130" t="s">
        <v>225</v>
      </c>
      <c r="F73" s="130" t="s">
        <v>312</v>
      </c>
      <c r="G73" s="130" t="s">
        <v>309</v>
      </c>
      <c r="H73" s="149" t="s">
        <v>224</v>
      </c>
    </row>
    <row r="74" spans="1:8" ht="29" x14ac:dyDescent="0.25">
      <c r="A74" s="110" t="s">
        <v>257</v>
      </c>
      <c r="B74" s="131"/>
      <c r="C74" s="132"/>
      <c r="D74" s="132"/>
      <c r="E74" s="132"/>
      <c r="F74" s="132"/>
      <c r="G74" s="132"/>
      <c r="H74" s="133"/>
    </row>
    <row r="75" spans="1:8" ht="14.5" x14ac:dyDescent="0.25">
      <c r="A75" s="115"/>
      <c r="B75" s="136"/>
      <c r="C75" s="136"/>
      <c r="D75" s="136"/>
      <c r="E75" s="136"/>
      <c r="F75" s="136"/>
      <c r="G75" s="136"/>
      <c r="H75" s="136"/>
    </row>
    <row r="76" spans="1:8" ht="43.5" x14ac:dyDescent="0.25">
      <c r="A76" s="107" t="s">
        <v>258</v>
      </c>
      <c r="B76" s="137"/>
      <c r="C76" s="137"/>
      <c r="D76" s="137"/>
      <c r="E76" s="137"/>
      <c r="F76" s="137"/>
      <c r="G76" s="137"/>
      <c r="H76" s="137"/>
    </row>
    <row r="77" spans="1:8" ht="29" x14ac:dyDescent="0.25">
      <c r="A77" s="109" t="s">
        <v>259</v>
      </c>
      <c r="B77" s="265" t="s">
        <v>394</v>
      </c>
      <c r="C77" s="265"/>
      <c r="D77" s="265"/>
      <c r="E77" s="265"/>
      <c r="F77" s="265"/>
      <c r="G77" s="265"/>
      <c r="H77" s="265"/>
    </row>
    <row r="78" spans="1:8" ht="14.5" x14ac:dyDescent="0.25">
      <c r="A78" s="108" t="s">
        <v>260</v>
      </c>
      <c r="B78" s="263" t="s">
        <v>396</v>
      </c>
      <c r="C78" s="263"/>
      <c r="D78" s="263"/>
      <c r="E78" s="263"/>
      <c r="F78" s="263"/>
      <c r="G78" s="263"/>
      <c r="H78" s="263"/>
    </row>
    <row r="79" spans="1:8" ht="14.5" x14ac:dyDescent="0.25">
      <c r="A79" s="108" t="s">
        <v>261</v>
      </c>
      <c r="B79" s="265" t="s">
        <v>395</v>
      </c>
      <c r="C79" s="265"/>
      <c r="D79" s="265"/>
      <c r="E79" s="265"/>
      <c r="F79" s="265"/>
      <c r="G79" s="265"/>
      <c r="H79" s="265"/>
    </row>
    <row r="80" spans="1:8" ht="14.5" x14ac:dyDescent="0.25">
      <c r="A80" s="110" t="s">
        <v>262</v>
      </c>
      <c r="B80" s="250"/>
      <c r="C80" s="250"/>
      <c r="D80" s="250"/>
      <c r="E80" s="250"/>
      <c r="F80" s="250"/>
      <c r="G80" s="250"/>
      <c r="H80" s="250"/>
    </row>
    <row r="81" spans="1:8" ht="14.5" x14ac:dyDescent="0.25">
      <c r="A81" s="109" t="s">
        <v>263</v>
      </c>
      <c r="B81" s="265"/>
      <c r="C81" s="265"/>
      <c r="D81" s="265"/>
      <c r="E81" s="265"/>
      <c r="F81" s="265"/>
      <c r="G81" s="265"/>
      <c r="H81" s="265"/>
    </row>
    <row r="82" spans="1:8" ht="14.5" x14ac:dyDescent="0.25">
      <c r="A82" s="108" t="s">
        <v>264</v>
      </c>
      <c r="B82" s="263"/>
      <c r="C82" s="263"/>
      <c r="D82" s="263"/>
      <c r="E82" s="263"/>
      <c r="F82" s="263"/>
      <c r="G82" s="263"/>
      <c r="H82" s="263"/>
    </row>
    <row r="83" spans="1:8" ht="14.5" x14ac:dyDescent="0.25">
      <c r="A83" s="116"/>
      <c r="B83" s="112"/>
      <c r="C83" s="112"/>
      <c r="D83" s="112"/>
      <c r="E83" s="112"/>
      <c r="F83" s="112"/>
      <c r="G83" s="112"/>
      <c r="H83" s="112"/>
    </row>
    <row r="84" spans="1:8" ht="58" x14ac:dyDescent="0.25">
      <c r="A84" s="117" t="s">
        <v>265</v>
      </c>
      <c r="B84" s="254" t="s">
        <v>68</v>
      </c>
      <c r="C84" s="254"/>
      <c r="D84" s="254"/>
      <c r="E84" s="262" t="s">
        <v>266</v>
      </c>
      <c r="F84" s="262"/>
      <c r="G84" s="262"/>
      <c r="H84" s="262"/>
    </row>
    <row r="85" spans="1:8" ht="58" x14ac:dyDescent="0.25">
      <c r="A85" s="110" t="s">
        <v>267</v>
      </c>
      <c r="B85" s="248"/>
      <c r="C85" s="248"/>
      <c r="D85" s="248"/>
      <c r="E85" s="251"/>
      <c r="F85" s="251"/>
      <c r="G85" s="251"/>
      <c r="H85" s="251"/>
    </row>
    <row r="86" spans="1:8" ht="58" x14ac:dyDescent="0.25">
      <c r="A86" s="110" t="s">
        <v>268</v>
      </c>
      <c r="B86" s="242" t="s">
        <v>397</v>
      </c>
      <c r="C86" s="242"/>
      <c r="D86" s="242"/>
      <c r="E86" s="250" t="s">
        <v>327</v>
      </c>
      <c r="F86" s="263"/>
      <c r="G86" s="263"/>
      <c r="H86" s="263"/>
    </row>
    <row r="87" spans="1:8" ht="130.5" x14ac:dyDescent="0.25">
      <c r="A87" s="110" t="s">
        <v>269</v>
      </c>
      <c r="B87" s="248"/>
      <c r="C87" s="248"/>
      <c r="D87" s="248"/>
      <c r="E87" s="251"/>
      <c r="F87" s="251"/>
      <c r="G87" s="251"/>
      <c r="H87" s="251"/>
    </row>
    <row r="88" spans="1:8" ht="43.5" x14ac:dyDescent="0.25">
      <c r="A88" s="110" t="s">
        <v>270</v>
      </c>
      <c r="B88" s="242" t="s">
        <v>328</v>
      </c>
      <c r="C88" s="242"/>
      <c r="D88" s="242"/>
      <c r="E88" s="250" t="s">
        <v>327</v>
      </c>
      <c r="F88" s="263"/>
      <c r="G88" s="263"/>
      <c r="H88" s="263"/>
    </row>
    <row r="89" spans="1:8" ht="72.5" x14ac:dyDescent="0.25">
      <c r="A89" s="118" t="s">
        <v>271</v>
      </c>
      <c r="B89" s="264"/>
      <c r="C89" s="264"/>
      <c r="D89" s="264"/>
      <c r="E89" s="251"/>
      <c r="F89" s="251"/>
      <c r="G89" s="251"/>
      <c r="H89" s="251"/>
    </row>
    <row r="90" spans="1:8" ht="43.5" x14ac:dyDescent="0.25">
      <c r="A90" s="110" t="s">
        <v>272</v>
      </c>
      <c r="B90" s="242"/>
      <c r="C90" s="242"/>
      <c r="D90" s="242"/>
      <c r="E90" s="250"/>
      <c r="F90" s="250"/>
      <c r="G90" s="250"/>
      <c r="H90" s="250"/>
    </row>
    <row r="91" spans="1:8" ht="14.5" x14ac:dyDescent="0.25">
      <c r="A91" s="115"/>
      <c r="B91" s="136"/>
      <c r="C91" s="136"/>
      <c r="D91" s="136"/>
      <c r="E91" s="136"/>
      <c r="F91" s="136"/>
      <c r="G91" s="136"/>
      <c r="H91" s="136"/>
    </row>
    <row r="92" spans="1:8" ht="14.5" x14ac:dyDescent="0.25">
      <c r="A92" s="117" t="s">
        <v>273</v>
      </c>
      <c r="B92" s="254" t="s">
        <v>68</v>
      </c>
      <c r="C92" s="254"/>
      <c r="D92" s="254"/>
      <c r="E92" s="262" t="s">
        <v>266</v>
      </c>
      <c r="F92" s="262"/>
      <c r="G92" s="262"/>
      <c r="H92" s="262"/>
    </row>
    <row r="93" spans="1:8" ht="43.5" x14ac:dyDescent="0.25">
      <c r="A93" s="110" t="s">
        <v>274</v>
      </c>
      <c r="B93" s="248"/>
      <c r="C93" s="248"/>
      <c r="D93" s="248"/>
      <c r="E93" s="251"/>
      <c r="F93" s="251"/>
      <c r="G93" s="251"/>
      <c r="H93" s="251"/>
    </row>
    <row r="94" spans="1:8" ht="43.5" x14ac:dyDescent="0.25">
      <c r="A94" s="110" t="s">
        <v>275</v>
      </c>
      <c r="B94" s="242"/>
      <c r="C94" s="242"/>
      <c r="D94" s="242"/>
      <c r="E94" s="250"/>
      <c r="F94" s="250"/>
      <c r="G94" s="250"/>
      <c r="H94" s="250"/>
    </row>
    <row r="95" spans="1:8" ht="58" x14ac:dyDescent="0.25">
      <c r="A95" s="110" t="s">
        <v>276</v>
      </c>
      <c r="B95" s="248"/>
      <c r="C95" s="248"/>
      <c r="D95" s="248"/>
      <c r="E95" s="251"/>
      <c r="F95" s="251"/>
      <c r="G95" s="251"/>
      <c r="H95" s="251"/>
    </row>
    <row r="96" spans="1:8" ht="43.5" x14ac:dyDescent="0.25">
      <c r="A96" s="110" t="s">
        <v>277</v>
      </c>
      <c r="B96" s="242"/>
      <c r="C96" s="242"/>
      <c r="D96" s="242"/>
      <c r="E96" s="250"/>
      <c r="F96" s="250"/>
      <c r="G96" s="250"/>
      <c r="H96" s="250"/>
    </row>
    <row r="97" spans="1:8" ht="29" x14ac:dyDescent="0.25">
      <c r="A97" s="110" t="s">
        <v>278</v>
      </c>
      <c r="B97" s="248"/>
      <c r="C97" s="248"/>
      <c r="D97" s="248"/>
      <c r="E97" s="251"/>
      <c r="F97" s="251"/>
      <c r="G97" s="251"/>
      <c r="H97" s="251"/>
    </row>
    <row r="98" spans="1:8" ht="87" x14ac:dyDescent="0.25">
      <c r="A98" s="110" t="s">
        <v>279</v>
      </c>
      <c r="B98" s="242"/>
      <c r="C98" s="242"/>
      <c r="D98" s="242"/>
      <c r="E98" s="250"/>
      <c r="F98" s="250"/>
      <c r="G98" s="250"/>
      <c r="H98" s="250"/>
    </row>
    <row r="99" spans="1:8" ht="43.5" x14ac:dyDescent="0.25">
      <c r="A99" s="110" t="s">
        <v>280</v>
      </c>
      <c r="B99" s="248"/>
      <c r="C99" s="248"/>
      <c r="D99" s="248"/>
      <c r="E99" s="251"/>
      <c r="F99" s="251"/>
      <c r="G99" s="251"/>
      <c r="H99" s="251"/>
    </row>
    <row r="100" spans="1:8" ht="72.5" x14ac:dyDescent="0.25">
      <c r="A100" s="110" t="s">
        <v>281</v>
      </c>
      <c r="B100" s="242"/>
      <c r="C100" s="242"/>
      <c r="D100" s="242"/>
      <c r="E100" s="250"/>
      <c r="F100" s="250"/>
      <c r="G100" s="250"/>
      <c r="H100" s="250"/>
    </row>
    <row r="101" spans="1:8" ht="72.5" x14ac:dyDescent="0.25">
      <c r="A101" s="110" t="s">
        <v>282</v>
      </c>
      <c r="B101" s="248"/>
      <c r="C101" s="248"/>
      <c r="D101" s="248"/>
      <c r="E101" s="251"/>
      <c r="F101" s="251"/>
      <c r="G101" s="251"/>
      <c r="H101" s="251"/>
    </row>
    <row r="102" spans="1:8" ht="14.5" x14ac:dyDescent="0.25">
      <c r="A102" s="111"/>
      <c r="B102" s="112"/>
      <c r="C102" s="112"/>
      <c r="D102" s="112"/>
      <c r="E102" s="112"/>
      <c r="F102" s="112"/>
      <c r="G102" s="112"/>
      <c r="H102" s="112"/>
    </row>
    <row r="103" spans="1:8" ht="43.5" x14ac:dyDescent="0.25">
      <c r="A103" s="117" t="s">
        <v>283</v>
      </c>
      <c r="B103" s="254" t="s">
        <v>68</v>
      </c>
      <c r="C103" s="254"/>
      <c r="D103" s="254"/>
      <c r="E103" s="255" t="s">
        <v>284</v>
      </c>
      <c r="F103" s="255"/>
      <c r="G103" s="255"/>
      <c r="H103" s="255"/>
    </row>
    <row r="104" spans="1:8" ht="29" x14ac:dyDescent="0.25">
      <c r="A104" s="109" t="s">
        <v>285</v>
      </c>
      <c r="B104" s="249" t="s">
        <v>329</v>
      </c>
      <c r="C104" s="249"/>
      <c r="D104" s="249"/>
      <c r="E104" s="258" t="s">
        <v>330</v>
      </c>
      <c r="F104" s="258"/>
      <c r="G104" s="258"/>
      <c r="H104" s="258"/>
    </row>
    <row r="105" spans="1:8" ht="29" x14ac:dyDescent="0.25">
      <c r="A105" s="108" t="s">
        <v>286</v>
      </c>
      <c r="B105" s="259"/>
      <c r="C105" s="259"/>
      <c r="D105" s="259"/>
      <c r="E105" s="260"/>
      <c r="F105" s="260"/>
      <c r="G105" s="260"/>
      <c r="H105" s="260"/>
    </row>
    <row r="106" spans="1:8" ht="14.5" x14ac:dyDescent="0.25">
      <c r="A106" s="111"/>
      <c r="B106" s="112"/>
      <c r="C106" s="112"/>
      <c r="D106" s="112"/>
      <c r="E106" s="112"/>
      <c r="F106" s="112"/>
      <c r="G106" s="112"/>
      <c r="H106" s="112"/>
    </row>
    <row r="107" spans="1:8" ht="14.5" x14ac:dyDescent="0.25">
      <c r="A107" s="117" t="s">
        <v>287</v>
      </c>
      <c r="B107" s="261" t="s">
        <v>288</v>
      </c>
      <c r="C107" s="261"/>
      <c r="D107" s="261"/>
      <c r="E107" s="262" t="s">
        <v>284</v>
      </c>
      <c r="F107" s="262"/>
      <c r="G107" s="262"/>
      <c r="H107" s="262"/>
    </row>
    <row r="108" spans="1:8" ht="14.5" x14ac:dyDescent="0.25">
      <c r="A108" s="109" t="s">
        <v>289</v>
      </c>
      <c r="B108" s="249" t="s">
        <v>331</v>
      </c>
      <c r="C108" s="249"/>
      <c r="D108" s="249"/>
      <c r="E108" s="250" t="s">
        <v>332</v>
      </c>
      <c r="F108" s="250"/>
      <c r="G108" s="250"/>
      <c r="H108" s="250"/>
    </row>
    <row r="109" spans="1:8" ht="14.5" x14ac:dyDescent="0.25">
      <c r="A109" s="108" t="s">
        <v>290</v>
      </c>
      <c r="B109" s="256" t="s">
        <v>333</v>
      </c>
      <c r="C109" s="256"/>
      <c r="D109" s="256"/>
      <c r="E109" s="251" t="s">
        <v>334</v>
      </c>
      <c r="F109" s="251"/>
      <c r="G109" s="251"/>
      <c r="H109" s="251"/>
    </row>
    <row r="110" spans="1:8" ht="14.5" x14ac:dyDescent="0.25">
      <c r="A110" s="108" t="s">
        <v>291</v>
      </c>
      <c r="B110" s="249"/>
      <c r="C110" s="249"/>
      <c r="D110" s="249"/>
      <c r="E110" s="250"/>
      <c r="F110" s="250"/>
      <c r="G110" s="250"/>
      <c r="H110" s="250"/>
    </row>
    <row r="111" spans="1:8" ht="14.5" x14ac:dyDescent="0.25">
      <c r="A111" s="110" t="s">
        <v>292</v>
      </c>
      <c r="B111" s="248"/>
      <c r="C111" s="248"/>
      <c r="D111" s="248"/>
      <c r="E111" s="251"/>
      <c r="F111" s="251"/>
      <c r="G111" s="251"/>
      <c r="H111" s="251"/>
    </row>
    <row r="112" spans="1:8" ht="14.5" x14ac:dyDescent="0.25">
      <c r="A112" s="111"/>
      <c r="B112" s="119"/>
      <c r="C112" s="119"/>
      <c r="D112" s="119"/>
      <c r="E112" s="112"/>
      <c r="F112" s="112"/>
      <c r="G112" s="112"/>
      <c r="H112" s="112"/>
    </row>
    <row r="113" spans="1:8" ht="29" x14ac:dyDescent="0.25">
      <c r="A113" s="117" t="s">
        <v>293</v>
      </c>
      <c r="B113" s="254" t="s">
        <v>294</v>
      </c>
      <c r="C113" s="254"/>
      <c r="D113" s="254"/>
      <c r="E113" s="255" t="s">
        <v>284</v>
      </c>
      <c r="F113" s="255"/>
      <c r="G113" s="255"/>
      <c r="H113" s="255"/>
    </row>
    <row r="114" spans="1:8" ht="29" x14ac:dyDescent="0.25">
      <c r="A114" s="110" t="s">
        <v>295</v>
      </c>
      <c r="B114" s="256" t="s">
        <v>337</v>
      </c>
      <c r="C114" s="256"/>
      <c r="D114" s="256"/>
      <c r="E114" s="257" t="s">
        <v>401</v>
      </c>
      <c r="F114" s="257"/>
      <c r="G114" s="257"/>
      <c r="H114" s="257"/>
    </row>
    <row r="115" spans="1:8" ht="29" x14ac:dyDescent="0.25">
      <c r="A115" s="110" t="s">
        <v>296</v>
      </c>
      <c r="B115" s="249" t="s">
        <v>338</v>
      </c>
      <c r="C115" s="249"/>
      <c r="D115" s="249"/>
      <c r="E115" s="250" t="s">
        <v>401</v>
      </c>
      <c r="F115" s="250"/>
      <c r="G115" s="250"/>
      <c r="H115" s="250"/>
    </row>
    <row r="116" spans="1:8" ht="29" x14ac:dyDescent="0.25">
      <c r="A116" s="118" t="s">
        <v>297</v>
      </c>
      <c r="B116" s="248"/>
      <c r="C116" s="248"/>
      <c r="D116" s="248"/>
      <c r="E116" s="251"/>
      <c r="F116" s="251"/>
      <c r="G116" s="251"/>
      <c r="H116" s="251"/>
    </row>
    <row r="117" spans="1:8" ht="14.5" x14ac:dyDescent="0.25">
      <c r="A117" s="120"/>
      <c r="B117" s="138"/>
      <c r="C117" s="139"/>
      <c r="D117" s="139"/>
      <c r="E117" s="140"/>
      <c r="F117" s="140"/>
      <c r="G117" s="140"/>
      <c r="H117" s="140"/>
    </row>
    <row r="118" spans="1:8" ht="14.5" x14ac:dyDescent="0.25">
      <c r="A118" s="121" t="s">
        <v>298</v>
      </c>
      <c r="B118" s="122" t="s">
        <v>299</v>
      </c>
      <c r="C118" s="122" t="s">
        <v>250</v>
      </c>
      <c r="D118" s="252" t="s">
        <v>300</v>
      </c>
      <c r="E118" s="252"/>
      <c r="F118" s="253" t="s">
        <v>301</v>
      </c>
      <c r="G118" s="253"/>
      <c r="H118" s="253"/>
    </row>
    <row r="119" spans="1:8" ht="29" x14ac:dyDescent="0.25">
      <c r="A119" s="109" t="s">
        <v>302</v>
      </c>
      <c r="B119" s="142"/>
      <c r="C119" s="142"/>
      <c r="D119" s="245"/>
      <c r="E119" s="245"/>
      <c r="F119" s="246"/>
      <c r="G119" s="246"/>
      <c r="H119" s="246"/>
    </row>
    <row r="120" spans="1:8" ht="29" x14ac:dyDescent="0.25">
      <c r="A120" s="108" t="s">
        <v>303</v>
      </c>
      <c r="B120" s="143"/>
      <c r="C120" s="144"/>
      <c r="D120" s="242"/>
      <c r="E120" s="242"/>
      <c r="F120" s="247"/>
      <c r="G120" s="247"/>
      <c r="H120" s="247"/>
    </row>
    <row r="121" spans="1:8" ht="29" x14ac:dyDescent="0.25">
      <c r="A121" s="109" t="s">
        <v>304</v>
      </c>
      <c r="B121" s="141"/>
      <c r="C121" s="145"/>
      <c r="D121" s="248"/>
      <c r="E121" s="248"/>
      <c r="F121" s="246"/>
      <c r="G121" s="246"/>
      <c r="H121" s="246"/>
    </row>
    <row r="122" spans="1:8" ht="29" x14ac:dyDescent="0.25">
      <c r="A122" s="108" t="s">
        <v>305</v>
      </c>
      <c r="B122" s="143"/>
      <c r="C122" s="144"/>
      <c r="D122" s="242"/>
      <c r="E122" s="242"/>
      <c r="F122" s="242"/>
      <c r="G122" s="242"/>
      <c r="H122" s="146"/>
    </row>
    <row r="123" spans="1:8" ht="29" x14ac:dyDescent="0.35">
      <c r="A123" s="108" t="s">
        <v>305</v>
      </c>
      <c r="B123" s="123"/>
      <c r="C123" s="124"/>
      <c r="D123" s="243"/>
      <c r="E123" s="244"/>
      <c r="F123" s="243"/>
      <c r="G123" s="244"/>
      <c r="H123" s="125"/>
    </row>
  </sheetData>
  <mergeCells count="240">
    <mergeCell ref="D57:E57"/>
    <mergeCell ref="F57:H57"/>
    <mergeCell ref="D56:E56"/>
    <mergeCell ref="F56:H56"/>
    <mergeCell ref="D61:E61"/>
    <mergeCell ref="F61:G61"/>
    <mergeCell ref="B2:H2"/>
    <mergeCell ref="B15:H15"/>
    <mergeCell ref="B22:D22"/>
    <mergeCell ref="E22:H22"/>
    <mergeCell ref="B30:D30"/>
    <mergeCell ref="E30:H30"/>
    <mergeCell ref="B41:D41"/>
    <mergeCell ref="E41:H41"/>
    <mergeCell ref="D58:E58"/>
    <mergeCell ref="F58:H58"/>
    <mergeCell ref="D59:E59"/>
    <mergeCell ref="F59:H59"/>
    <mergeCell ref="D60:E60"/>
    <mergeCell ref="F60:G60"/>
    <mergeCell ref="B49:D49"/>
    <mergeCell ref="E49:H49"/>
    <mergeCell ref="B52:D52"/>
    <mergeCell ref="E52:H52"/>
    <mergeCell ref="B53:D53"/>
    <mergeCell ref="E53:H53"/>
    <mergeCell ref="B51:D51"/>
    <mergeCell ref="E51:H51"/>
    <mergeCell ref="B54:D54"/>
    <mergeCell ref="E54:H54"/>
    <mergeCell ref="B43:D43"/>
    <mergeCell ref="E43:H43"/>
    <mergeCell ref="B46:D46"/>
    <mergeCell ref="E46:H46"/>
    <mergeCell ref="B45:D45"/>
    <mergeCell ref="E45:H45"/>
    <mergeCell ref="B47:D47"/>
    <mergeCell ref="E47:H47"/>
    <mergeCell ref="B48:D48"/>
    <mergeCell ref="E48:H48"/>
    <mergeCell ref="B34:D34"/>
    <mergeCell ref="E34:H34"/>
    <mergeCell ref="B35:D35"/>
    <mergeCell ref="E35:H35"/>
    <mergeCell ref="B39:D39"/>
    <mergeCell ref="E39:H39"/>
    <mergeCell ref="B42:D42"/>
    <mergeCell ref="E42:H42"/>
    <mergeCell ref="B36:D36"/>
    <mergeCell ref="E36:H36"/>
    <mergeCell ref="B37:D37"/>
    <mergeCell ref="E37:H37"/>
    <mergeCell ref="B38:D38"/>
    <mergeCell ref="E38:H38"/>
    <mergeCell ref="B32:D32"/>
    <mergeCell ref="E32:H32"/>
    <mergeCell ref="B26:D26"/>
    <mergeCell ref="E26:H26"/>
    <mergeCell ref="B27:D27"/>
    <mergeCell ref="E27:H27"/>
    <mergeCell ref="B28:D28"/>
    <mergeCell ref="E28:H28"/>
    <mergeCell ref="B33:D33"/>
    <mergeCell ref="E33:H33"/>
    <mergeCell ref="B20:H20"/>
    <mergeCell ref="B23:D23"/>
    <mergeCell ref="E23:H23"/>
    <mergeCell ref="B24:D24"/>
    <mergeCell ref="E24:H24"/>
    <mergeCell ref="B25:D25"/>
    <mergeCell ref="E25:H25"/>
    <mergeCell ref="B31:D31"/>
    <mergeCell ref="E31:H31"/>
    <mergeCell ref="K15:Q15"/>
    <mergeCell ref="K16:Q16"/>
    <mergeCell ref="K17:Q17"/>
    <mergeCell ref="K18:Q18"/>
    <mergeCell ref="K19:Q19"/>
    <mergeCell ref="B3:H3"/>
    <mergeCell ref="B4:H4"/>
    <mergeCell ref="B5:H5"/>
    <mergeCell ref="K2:Q2"/>
    <mergeCell ref="K3:Q3"/>
    <mergeCell ref="K4:Q4"/>
    <mergeCell ref="K5:Q5"/>
    <mergeCell ref="B16:H16"/>
    <mergeCell ref="B17:H17"/>
    <mergeCell ref="B18:H18"/>
    <mergeCell ref="B19:H19"/>
    <mergeCell ref="K24:M24"/>
    <mergeCell ref="N24:Q24"/>
    <mergeCell ref="K25:M25"/>
    <mergeCell ref="N25:Q25"/>
    <mergeCell ref="K26:M26"/>
    <mergeCell ref="N26:Q26"/>
    <mergeCell ref="K20:Q20"/>
    <mergeCell ref="K22:M22"/>
    <mergeCell ref="N22:Q22"/>
    <mergeCell ref="K23:M23"/>
    <mergeCell ref="N23:Q23"/>
    <mergeCell ref="K31:M31"/>
    <mergeCell ref="N31:Q31"/>
    <mergeCell ref="K32:M32"/>
    <mergeCell ref="N32:Q32"/>
    <mergeCell ref="K33:M33"/>
    <mergeCell ref="N33:Q33"/>
    <mergeCell ref="K27:M27"/>
    <mergeCell ref="N27:Q27"/>
    <mergeCell ref="K28:M28"/>
    <mergeCell ref="N28:Q28"/>
    <mergeCell ref="K30:M30"/>
    <mergeCell ref="N30:Q30"/>
    <mergeCell ref="K37:M37"/>
    <mergeCell ref="N37:Q37"/>
    <mergeCell ref="K38:M38"/>
    <mergeCell ref="N38:Q38"/>
    <mergeCell ref="K39:M39"/>
    <mergeCell ref="N39:Q39"/>
    <mergeCell ref="K34:M34"/>
    <mergeCell ref="N34:Q34"/>
    <mergeCell ref="K35:M35"/>
    <mergeCell ref="N35:Q35"/>
    <mergeCell ref="K36:M36"/>
    <mergeCell ref="N36:Q36"/>
    <mergeCell ref="K45:M45"/>
    <mergeCell ref="N45:Q45"/>
    <mergeCell ref="K46:M46"/>
    <mergeCell ref="N46:Q46"/>
    <mergeCell ref="K47:M47"/>
    <mergeCell ref="N47:Q47"/>
    <mergeCell ref="K41:M41"/>
    <mergeCell ref="N41:Q41"/>
    <mergeCell ref="K42:M42"/>
    <mergeCell ref="N42:Q42"/>
    <mergeCell ref="K43:M43"/>
    <mergeCell ref="N43:Q43"/>
    <mergeCell ref="K52:M52"/>
    <mergeCell ref="N52:Q52"/>
    <mergeCell ref="K53:M53"/>
    <mergeCell ref="N53:Q53"/>
    <mergeCell ref="K54:M54"/>
    <mergeCell ref="N54:Q54"/>
    <mergeCell ref="K48:M48"/>
    <mergeCell ref="N48:Q48"/>
    <mergeCell ref="K49:M49"/>
    <mergeCell ref="N49:Q49"/>
    <mergeCell ref="K51:M51"/>
    <mergeCell ref="N51:Q51"/>
    <mergeCell ref="M59:N59"/>
    <mergeCell ref="O59:Q59"/>
    <mergeCell ref="M60:N60"/>
    <mergeCell ref="O60:P60"/>
    <mergeCell ref="M61:N61"/>
    <mergeCell ref="O61:P61"/>
    <mergeCell ref="M56:N56"/>
    <mergeCell ref="O56:Q56"/>
    <mergeCell ref="M57:N57"/>
    <mergeCell ref="O57:Q57"/>
    <mergeCell ref="M58:N58"/>
    <mergeCell ref="O58:Q58"/>
    <mergeCell ref="B78:H78"/>
    <mergeCell ref="B79:H79"/>
    <mergeCell ref="B80:H80"/>
    <mergeCell ref="B81:H81"/>
    <mergeCell ref="B82:H82"/>
    <mergeCell ref="B64:H64"/>
    <mergeCell ref="B65:H65"/>
    <mergeCell ref="B66:H66"/>
    <mergeCell ref="B67:H67"/>
    <mergeCell ref="B77:H77"/>
    <mergeCell ref="B87:D87"/>
    <mergeCell ref="E87:H87"/>
    <mergeCell ref="B88:D88"/>
    <mergeCell ref="E88:H88"/>
    <mergeCell ref="B89:D89"/>
    <mergeCell ref="E89:H89"/>
    <mergeCell ref="B84:D84"/>
    <mergeCell ref="E84:H84"/>
    <mergeCell ref="B85:D85"/>
    <mergeCell ref="E85:H85"/>
    <mergeCell ref="B86:D86"/>
    <mergeCell ref="E86:H86"/>
    <mergeCell ref="B94:D94"/>
    <mergeCell ref="E94:H94"/>
    <mergeCell ref="B95:D95"/>
    <mergeCell ref="E95:H95"/>
    <mergeCell ref="B96:D96"/>
    <mergeCell ref="E96:H96"/>
    <mergeCell ref="B90:D90"/>
    <mergeCell ref="E90:H90"/>
    <mergeCell ref="B92:D92"/>
    <mergeCell ref="E92:H92"/>
    <mergeCell ref="B93:D93"/>
    <mergeCell ref="E93:H93"/>
    <mergeCell ref="B100:D100"/>
    <mergeCell ref="E100:H100"/>
    <mergeCell ref="B101:D101"/>
    <mergeCell ref="E101:H101"/>
    <mergeCell ref="B103:D103"/>
    <mergeCell ref="E103:H103"/>
    <mergeCell ref="B97:D97"/>
    <mergeCell ref="E97:H97"/>
    <mergeCell ref="B98:D98"/>
    <mergeCell ref="E98:H98"/>
    <mergeCell ref="B99:D99"/>
    <mergeCell ref="E99:H99"/>
    <mergeCell ref="B108:D108"/>
    <mergeCell ref="E108:H108"/>
    <mergeCell ref="B109:D109"/>
    <mergeCell ref="E109:H109"/>
    <mergeCell ref="B110:D110"/>
    <mergeCell ref="E110:H110"/>
    <mergeCell ref="B104:D104"/>
    <mergeCell ref="E104:H104"/>
    <mergeCell ref="B105:D105"/>
    <mergeCell ref="E105:H105"/>
    <mergeCell ref="B107:D107"/>
    <mergeCell ref="E107:H107"/>
    <mergeCell ref="B115:D115"/>
    <mergeCell ref="E115:H115"/>
    <mergeCell ref="B116:D116"/>
    <mergeCell ref="E116:H116"/>
    <mergeCell ref="D118:E118"/>
    <mergeCell ref="F118:H118"/>
    <mergeCell ref="B111:D111"/>
    <mergeCell ref="E111:H111"/>
    <mergeCell ref="B113:D113"/>
    <mergeCell ref="E113:H113"/>
    <mergeCell ref="B114:D114"/>
    <mergeCell ref="E114:H114"/>
    <mergeCell ref="D122:E122"/>
    <mergeCell ref="F122:G122"/>
    <mergeCell ref="D123:E123"/>
    <mergeCell ref="F123:G123"/>
    <mergeCell ref="D119:E119"/>
    <mergeCell ref="F119:H119"/>
    <mergeCell ref="D120:E120"/>
    <mergeCell ref="F120:H120"/>
    <mergeCell ref="D121:E121"/>
    <mergeCell ref="F121:H121"/>
  </mergeCells>
  <phoneticPr fontId="42" type="noConversion"/>
  <hyperlinks>
    <hyperlink ref="H8" r:id="rId1" xr:uid="{F1F89BCD-F4BC-417C-B592-A9C4F7C69C10}"/>
    <hyperlink ref="H9" r:id="rId2" xr:uid="{ED23099B-27E1-4369-95E5-2EB7FE8DC6F7}"/>
    <hyperlink ref="H11" r:id="rId3" xr:uid="{1FE43537-B631-4F4E-BB1E-9F7D6E838C13}"/>
    <hyperlink ref="Q8" r:id="rId4" xr:uid="{305D306B-1C6C-455B-866B-644EFBD20DC3}"/>
    <hyperlink ref="Q9" r:id="rId5" xr:uid="{D0ED6C5D-B6D7-481F-8BCE-D967526B7F19}"/>
    <hyperlink ref="Q11" r:id="rId6" xr:uid="{3955BE0C-7221-447C-899E-56DFCF025385}"/>
    <hyperlink ref="H70" r:id="rId7" xr:uid="{6FD73732-C38F-433B-8107-29F8C0610FA2}"/>
    <hyperlink ref="H71" r:id="rId8" xr:uid="{693C5514-6C52-414B-B70F-1310328B15ED}"/>
    <hyperlink ref="H73" r:id="rId9" xr:uid="{97CAEE53-9042-4C89-A80E-CFF1C0B10B13}"/>
  </hyperlinks>
  <pageMargins left="0.7" right="0.7" top="0.75" bottom="0.75" header="0.3" footer="0.3"/>
  <legacyDrawing r:id="rId1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58018-D126-4CD0-BA74-E004314982B3}">
  <sheetPr codeName="Feuil7"/>
  <dimension ref="A1:I18"/>
  <sheetViews>
    <sheetView topLeftCell="A12" zoomScale="59" zoomScaleNormal="40" workbookViewId="0">
      <selection activeCell="I17" sqref="I17"/>
    </sheetView>
  </sheetViews>
  <sheetFormatPr baseColWidth="10" defaultRowHeight="12.5" x14ac:dyDescent="0.25"/>
  <cols>
    <col min="1" max="1" width="13.36328125" bestFit="1" customWidth="1"/>
    <col min="2" max="4" width="33.26953125" customWidth="1"/>
    <col min="5" max="5" width="7" bestFit="1" customWidth="1"/>
    <col min="6" max="6" width="10.81640625" bestFit="1" customWidth="1"/>
    <col min="7" max="7" width="13.54296875" bestFit="1" customWidth="1"/>
    <col min="8" max="8" width="66.453125" customWidth="1"/>
    <col min="9" max="9" width="67.81640625" customWidth="1"/>
  </cols>
  <sheetData>
    <row r="1" spans="1:9" ht="14.5" x14ac:dyDescent="0.25">
      <c r="A1" s="267" t="s">
        <v>563</v>
      </c>
      <c r="B1" s="267" t="s">
        <v>182</v>
      </c>
      <c r="C1" s="89" t="s">
        <v>183</v>
      </c>
      <c r="D1" s="89" t="s">
        <v>185</v>
      </c>
      <c r="E1" s="89" t="s">
        <v>187</v>
      </c>
      <c r="F1" s="89" t="s">
        <v>189</v>
      </c>
      <c r="G1" s="89" t="s">
        <v>191</v>
      </c>
      <c r="H1" s="89" t="s">
        <v>193</v>
      </c>
      <c r="I1" s="89" t="s">
        <v>195</v>
      </c>
    </row>
    <row r="2" spans="1:9" ht="29" x14ac:dyDescent="0.25">
      <c r="A2" s="268"/>
      <c r="B2" s="268"/>
      <c r="C2" s="90" t="s">
        <v>184</v>
      </c>
      <c r="D2" s="90" t="s">
        <v>186</v>
      </c>
      <c r="E2" s="90" t="s">
        <v>188</v>
      </c>
      <c r="F2" s="90" t="s">
        <v>190</v>
      </c>
      <c r="G2" s="90" t="s">
        <v>192</v>
      </c>
      <c r="H2" s="90" t="s">
        <v>194</v>
      </c>
      <c r="I2" s="90" t="s">
        <v>196</v>
      </c>
    </row>
    <row r="3" spans="1:9" ht="14.5" x14ac:dyDescent="0.25">
      <c r="A3" s="91"/>
      <c r="B3" s="91" t="s">
        <v>197</v>
      </c>
      <c r="C3" s="91" t="s">
        <v>198</v>
      </c>
      <c r="D3" s="91" t="s">
        <v>199</v>
      </c>
      <c r="E3" s="91"/>
      <c r="F3" s="91"/>
      <c r="G3" s="91"/>
      <c r="H3" s="91"/>
      <c r="I3" s="91"/>
    </row>
    <row r="4" spans="1:9" ht="116" x14ac:dyDescent="0.25">
      <c r="A4" s="92" t="s">
        <v>567</v>
      </c>
      <c r="B4" s="92" t="s">
        <v>342</v>
      </c>
      <c r="C4" s="92" t="s">
        <v>343</v>
      </c>
      <c r="D4" s="92" t="s">
        <v>344</v>
      </c>
      <c r="E4" s="92">
        <v>3</v>
      </c>
      <c r="F4" s="92">
        <v>3</v>
      </c>
      <c r="G4" s="151">
        <v>9</v>
      </c>
      <c r="H4" s="150" t="s">
        <v>345</v>
      </c>
      <c r="I4" s="150" t="s">
        <v>377</v>
      </c>
    </row>
    <row r="5" spans="1:9" ht="72.5" x14ac:dyDescent="0.25">
      <c r="A5" s="92" t="s">
        <v>564</v>
      </c>
      <c r="B5" s="92" t="s">
        <v>346</v>
      </c>
      <c r="C5" s="92" t="s">
        <v>347</v>
      </c>
      <c r="D5" s="92" t="s">
        <v>348</v>
      </c>
      <c r="E5" s="92">
        <v>3</v>
      </c>
      <c r="F5" s="92">
        <v>3</v>
      </c>
      <c r="G5" s="151">
        <v>9</v>
      </c>
      <c r="H5" s="150" t="s">
        <v>352</v>
      </c>
      <c r="I5" s="150" t="s">
        <v>378</v>
      </c>
    </row>
    <row r="6" spans="1:9" ht="116" x14ac:dyDescent="0.25">
      <c r="A6" s="92" t="s">
        <v>564</v>
      </c>
      <c r="B6" s="92" t="s">
        <v>346</v>
      </c>
      <c r="C6" s="92" t="s">
        <v>354</v>
      </c>
      <c r="D6" s="92" t="s">
        <v>355</v>
      </c>
      <c r="E6" s="92">
        <v>3</v>
      </c>
      <c r="F6" s="92">
        <v>2</v>
      </c>
      <c r="G6" s="152">
        <v>6</v>
      </c>
      <c r="H6" s="150" t="s">
        <v>356</v>
      </c>
      <c r="I6" s="150" t="s">
        <v>380</v>
      </c>
    </row>
    <row r="7" spans="1:9" ht="58" x14ac:dyDescent="0.25">
      <c r="A7" s="92" t="s">
        <v>565</v>
      </c>
      <c r="B7" s="92" t="s">
        <v>349</v>
      </c>
      <c r="C7" s="92" t="s">
        <v>350</v>
      </c>
      <c r="D7" s="92" t="s">
        <v>351</v>
      </c>
      <c r="E7" s="92">
        <v>2</v>
      </c>
      <c r="F7" s="92">
        <v>3</v>
      </c>
      <c r="G7" s="152">
        <v>6</v>
      </c>
      <c r="H7" s="150" t="s">
        <v>353</v>
      </c>
      <c r="I7" s="150" t="s">
        <v>379</v>
      </c>
    </row>
    <row r="8" spans="1:9" ht="58" x14ac:dyDescent="0.25">
      <c r="A8" s="92" t="s">
        <v>567</v>
      </c>
      <c r="B8" s="92" t="s">
        <v>357</v>
      </c>
      <c r="C8" s="92" t="s">
        <v>358</v>
      </c>
      <c r="D8" s="92" t="s">
        <v>361</v>
      </c>
      <c r="E8" s="92">
        <v>3</v>
      </c>
      <c r="F8" s="92">
        <v>3</v>
      </c>
      <c r="G8" s="151">
        <v>9</v>
      </c>
      <c r="H8" s="150" t="s">
        <v>364</v>
      </c>
      <c r="I8" s="150" t="s">
        <v>381</v>
      </c>
    </row>
    <row r="9" spans="1:9" ht="87" x14ac:dyDescent="0.25">
      <c r="A9" s="92" t="s">
        <v>567</v>
      </c>
      <c r="B9" s="92" t="s">
        <v>359</v>
      </c>
      <c r="C9" s="92" t="s">
        <v>360</v>
      </c>
      <c r="D9" s="92" t="s">
        <v>362</v>
      </c>
      <c r="E9" s="92">
        <v>3</v>
      </c>
      <c r="F9" s="92">
        <v>1</v>
      </c>
      <c r="G9" s="93">
        <v>3</v>
      </c>
      <c r="H9" s="150" t="s">
        <v>363</v>
      </c>
      <c r="I9" s="150" t="s">
        <v>382</v>
      </c>
    </row>
    <row r="10" spans="1:9" ht="58" x14ac:dyDescent="0.25">
      <c r="A10" s="92" t="s">
        <v>566</v>
      </c>
      <c r="B10" s="92" t="s">
        <v>365</v>
      </c>
      <c r="C10" s="92" t="s">
        <v>366</v>
      </c>
      <c r="D10" s="92" t="s">
        <v>367</v>
      </c>
      <c r="E10" s="92">
        <v>2</v>
      </c>
      <c r="F10" s="92">
        <v>1</v>
      </c>
      <c r="G10" s="93">
        <v>2</v>
      </c>
      <c r="H10" s="150" t="s">
        <v>368</v>
      </c>
      <c r="I10" s="150" t="s">
        <v>383</v>
      </c>
    </row>
    <row r="11" spans="1:9" ht="72.5" x14ac:dyDescent="0.25">
      <c r="A11" s="92" t="s">
        <v>567</v>
      </c>
      <c r="B11" s="92" t="s">
        <v>369</v>
      </c>
      <c r="C11" s="92" t="s">
        <v>370</v>
      </c>
      <c r="D11" s="92" t="s">
        <v>371</v>
      </c>
      <c r="E11" s="92">
        <v>3</v>
      </c>
      <c r="F11" s="92">
        <v>1</v>
      </c>
      <c r="G11" s="93">
        <v>3</v>
      </c>
      <c r="H11" s="150" t="s">
        <v>375</v>
      </c>
      <c r="I11" s="150" t="s">
        <v>384</v>
      </c>
    </row>
    <row r="12" spans="1:9" ht="87" x14ac:dyDescent="0.25">
      <c r="A12" s="92" t="s">
        <v>567</v>
      </c>
      <c r="B12" s="92" t="s">
        <v>372</v>
      </c>
      <c r="C12" s="92" t="s">
        <v>373</v>
      </c>
      <c r="D12" s="92" t="s">
        <v>374</v>
      </c>
      <c r="E12" s="92">
        <v>2</v>
      </c>
      <c r="F12" s="92">
        <v>1</v>
      </c>
      <c r="G12" s="93">
        <v>2</v>
      </c>
      <c r="H12" s="150" t="s">
        <v>376</v>
      </c>
      <c r="I12" s="150" t="s">
        <v>385</v>
      </c>
    </row>
    <row r="14" spans="1:9" ht="14.5" x14ac:dyDescent="0.25">
      <c r="A14" s="7"/>
      <c r="B14" s="92" t="s">
        <v>568</v>
      </c>
      <c r="C14" s="92" t="s">
        <v>569</v>
      </c>
    </row>
    <row r="15" spans="1:9" ht="29" x14ac:dyDescent="0.25">
      <c r="A15" s="92" t="s">
        <v>567</v>
      </c>
      <c r="B15" s="7">
        <f>COUNTIF(A4:A12,"Risque technique")</f>
        <v>5</v>
      </c>
      <c r="C15" s="7">
        <f>AVERAGE(G12,G11,G9,G8,G4)</f>
        <v>5.2</v>
      </c>
    </row>
    <row r="16" spans="1:9" ht="43.5" x14ac:dyDescent="0.25">
      <c r="A16" s="92" t="s">
        <v>564</v>
      </c>
      <c r="B16" s="7">
        <f>COUNTIF(A4:A12,"Risque juridique et de conformité")</f>
        <v>2</v>
      </c>
      <c r="C16" s="7">
        <f>AVERAGE(G5,G6)</f>
        <v>7.5</v>
      </c>
    </row>
    <row r="17" spans="1:3" ht="29" x14ac:dyDescent="0.25">
      <c r="A17" s="92" t="s">
        <v>565</v>
      </c>
      <c r="B17" s="7">
        <f>COUNTIF(A4:A12,"Risque concurrentiel")</f>
        <v>1</v>
      </c>
      <c r="C17" s="7">
        <f>G10</f>
        <v>2</v>
      </c>
    </row>
    <row r="18" spans="1:3" ht="43.5" x14ac:dyDescent="0.25">
      <c r="A18" s="92" t="s">
        <v>566</v>
      </c>
      <c r="B18" s="7">
        <f>COUNTIF(A4:A12,"Risque organisationnel")</f>
        <v>1</v>
      </c>
      <c r="C18" s="7">
        <f>G10</f>
        <v>2</v>
      </c>
    </row>
  </sheetData>
  <mergeCells count="2">
    <mergeCell ref="B1:B2"/>
    <mergeCell ref="A1:A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Backlog</vt:lpstr>
      <vt:lpstr>Rentabilité</vt:lpstr>
      <vt:lpstr>Organisation SCRUM</vt:lpstr>
      <vt:lpstr>SPRINTS</vt:lpstr>
      <vt:lpstr>Registre Traitements</vt:lpstr>
      <vt:lpstr>Fiche Registre</vt:lpstr>
      <vt:lpstr>Analyse Risques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Herbet, Thomas</dc:creator>
  <cp:lastModifiedBy>Herbet, Thomas</cp:lastModifiedBy>
  <dcterms:created xsi:type="dcterms:W3CDTF">2025-07-23T12:02:10Z</dcterms:created>
  <dcterms:modified xsi:type="dcterms:W3CDTF">2025-07-28T09:30:49Z</dcterms:modified>
</cp:coreProperties>
</file>